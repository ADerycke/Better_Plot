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5dc276e816a84975"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_{086EE467-EBB5-4793-AD83-4CEF820F6D35}"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Normal law" sheetId="56" state="hidden" r:id="rId2"/>
    <sheet name="Layout" sheetId="54" r:id="rId3"/>
    <sheet name="Graphics list" sheetId="49"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56" l="1"/>
  <c r="J3" i="56"/>
  <c r="Q3" i="56"/>
  <c r="J4" i="56"/>
  <c r="L4" i="56"/>
  <c r="Q4" i="56"/>
  <c r="J5" i="56"/>
  <c r="L5" i="56"/>
  <c r="J6" i="56"/>
  <c r="J7" i="56"/>
  <c r="I3" i="56"/>
  <c r="P4" i="56"/>
  <c r="P3" i="56"/>
  <c r="I5" i="56"/>
  <c r="I7" i="56"/>
  <c r="I4" i="56"/>
  <c r="I8" i="56"/>
  <c r="I13" i="56" l="1"/>
  <c r="G13" i="56"/>
  <c r="G12" i="56"/>
  <c r="G15" i="56"/>
  <c r="O15" i="56" s="1"/>
  <c r="G14" i="56"/>
  <c r="L8" i="56"/>
  <c r="I6" i="56"/>
  <c r="J18" i="56" s="1"/>
  <c r="I16" i="56"/>
  <c r="G22" i="56"/>
  <c r="G21" i="56"/>
  <c r="G25" i="56"/>
  <c r="G29" i="56"/>
  <c r="G26" i="56"/>
  <c r="G30" i="56"/>
  <c r="G19" i="56"/>
  <c r="G20" i="56"/>
  <c r="G24" i="56"/>
  <c r="G28" i="56"/>
  <c r="G32" i="56"/>
  <c r="O32" i="56" s="1"/>
  <c r="G31" i="56"/>
  <c r="G17" i="56"/>
  <c r="G18" i="56"/>
  <c r="G16" i="56"/>
  <c r="G23" i="56"/>
  <c r="G27" i="56"/>
  <c r="J12" i="56"/>
  <c r="J15" i="56"/>
  <c r="J16" i="56"/>
  <c r="J13" i="56"/>
  <c r="N12" i="56" l="1"/>
  <c r="H15" i="56"/>
  <c r="N16" i="56"/>
  <c r="O31" i="56"/>
  <c r="H31" i="56"/>
  <c r="N32" i="56"/>
  <c r="N30" i="56"/>
  <c r="H29" i="56"/>
  <c r="O29" i="56"/>
  <c r="O12" i="56"/>
  <c r="H12" i="56"/>
  <c r="N13" i="56"/>
  <c r="H30" i="56"/>
  <c r="O30" i="56"/>
  <c r="N31" i="56"/>
  <c r="H32" i="56"/>
  <c r="N26" i="56"/>
  <c r="H25" i="56"/>
  <c r="O25" i="56"/>
  <c r="I19" i="56"/>
  <c r="N29" i="56"/>
  <c r="H28" i="56"/>
  <c r="O28" i="56"/>
  <c r="N22" i="56"/>
  <c r="H21" i="56"/>
  <c r="O21" i="56"/>
  <c r="O17" i="56"/>
  <c r="N18" i="56"/>
  <c r="H17" i="56"/>
  <c r="O27" i="56"/>
  <c r="N28" i="56"/>
  <c r="H27" i="56"/>
  <c r="O24" i="56"/>
  <c r="N25" i="56"/>
  <c r="H24" i="56"/>
  <c r="H14" i="56"/>
  <c r="N15" i="56"/>
  <c r="O14" i="56"/>
  <c r="O18" i="56"/>
  <c r="N19" i="56"/>
  <c r="H18" i="56"/>
  <c r="H26" i="56"/>
  <c r="N27" i="56"/>
  <c r="O26" i="56"/>
  <c r="N21" i="56"/>
  <c r="O20" i="56"/>
  <c r="H20" i="56"/>
  <c r="O23" i="56"/>
  <c r="N24" i="56"/>
  <c r="H23" i="56"/>
  <c r="H13" i="56"/>
  <c r="O13" i="56"/>
  <c r="N14" i="56"/>
  <c r="J19" i="56"/>
  <c r="N17" i="56"/>
  <c r="O16" i="56"/>
  <c r="H16" i="56"/>
  <c r="O19" i="56"/>
  <c r="H19" i="56"/>
  <c r="N20" i="56"/>
  <c r="H22" i="56"/>
  <c r="O22" i="56"/>
  <c r="N23" i="56"/>
  <c r="P12" i="56"/>
  <c r="P31" i="56"/>
  <c r="P25" i="56"/>
  <c r="P21" i="56"/>
  <c r="P28" i="56"/>
  <c r="P15" i="56"/>
  <c r="K19" i="56" l="1"/>
  <c r="K18" i="56"/>
  <c r="K16" i="56"/>
  <c r="K15" i="56"/>
  <c r="K13" i="56"/>
  <c r="P22" i="56"/>
  <c r="P27" i="56"/>
  <c r="P17" i="56"/>
  <c r="P23" i="56"/>
  <c r="P13" i="56"/>
  <c r="P24" i="56"/>
  <c r="P14" i="56"/>
  <c r="P20" i="56"/>
  <c r="P26" i="56"/>
  <c r="P18" i="56"/>
  <c r="P29" i="56"/>
  <c r="P19" i="56"/>
  <c r="P32" i="56"/>
  <c r="P30" i="56"/>
  <c r="P16"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<sst xmlns="http://schemas.openxmlformats.org/spreadsheetml/2006/main" count="659" uniqueCount="344">
  <si>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</si>
  <si>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</si>
  <si>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</si>
  <si>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</si>
  <si>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</si>
  <si>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</si>
  <si>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</si>
  <si>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</si>
  <si>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</si>
  <si>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</si>
  <si>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</si>
  <si>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</si>
  <si>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</si>
  <si>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</si>
  <si>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</si>
  <si>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</si>
  <si>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</si>
  <si>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</si>
  <si>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</si>
  <si>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</si>
  <si>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</si>
  <si>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</si>
  <si>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</si>
  <si>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</si>
  <si>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</si>
  <si>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</si>
  <si>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</si>
  <si>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</si>
  <si>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</si>
  <si>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</si>
  <si>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</si>
  <si>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</si>
  <si>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</si>
  <si>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</si>
  <si>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</si>
  <si>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</si>
  <si>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</si>
  <si>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</si>
  <si>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</si>
  <si>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</si>
  <si>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</si>
  <si>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</si>
  <si>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</si>
  <si>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</si>
  <si>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</si>
  <si>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</si>
  <si>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</si>
  <si>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</si>
  <si>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</si>
  <si>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</si>
  <si>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</si>
  <si>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</si>
  <si>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</si>
  <si>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</si>
  <si>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</si>
  <si>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</si>
  <si>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</si>
  <si>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</si>
  <si>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</si>
  <si>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</si>
  <si>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</si>
  <si>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</si>
  <si>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</si>
  <si>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</si>
  <si>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</si>
  <si>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</si>
  <si>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</si>
  <si>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</si>
  <si>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</si>
  <si>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</si>
  <si>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</si>
  <si>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</si>
  <si>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</si>
  <si>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</si>
  <si>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</si>
  <si>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</si>
  <si>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</si>
  <si>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</si>
  <si>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</si>
  <si>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</si>
  <si>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</si>
  <si>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</si>
  <si>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</si>
  <si>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</si>
  <si>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</si>
  <si>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</si>
  <si>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</si>
  <si>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</si>
  <si>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</si>
  <si>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</si>
  <si>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</si>
  <si>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</si>
  <si>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</si>
  <si>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</si>
  <si>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</si>
  <si>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</si>
  <si>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</si>
  <si>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</si>
  <si>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</si>
  <si>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</si>
  <si>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</si>
  <si>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</si>
  <si>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</si>
  <si>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</si>
  <si>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</si>
  <si>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</si>
  <si>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</si>
  <si>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</si>
  <si>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</si>
  <si>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</si>
  <si>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</si>
  <si>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blanks</t>
  </si>
  <si>
    <t>nom</t>
  </si>
  <si>
    <t>Th/U</t>
  </si>
  <si>
    <t>[ratio]</t>
  </si>
  <si>
    <t>2σ</t>
  </si>
  <si>
    <t>1σ</t>
  </si>
  <si>
    <t>mean</t>
  </si>
  <si>
    <t>nb.si</t>
  </si>
  <si>
    <t>y</t>
  </si>
  <si>
    <t>x</t>
  </si>
  <si>
    <t>Loi de calcul</t>
  </si>
  <si>
    <t>étiquette :</t>
  </si>
  <si>
    <t>n =</t>
  </si>
  <si>
    <t>Standart error =</t>
  </si>
  <si>
    <t>Erreur-type =</t>
  </si>
  <si>
    <t>Standart deviation (2σ) =</t>
  </si>
  <si>
    <t>axe Y bis :</t>
  </si>
  <si>
    <t>Standart deviation (1σ) =</t>
  </si>
  <si>
    <t>max :</t>
  </si>
  <si>
    <t>axe Y :</t>
  </si>
  <si>
    <t>Ecart-moyen =</t>
  </si>
  <si>
    <t>min :</t>
  </si>
  <si>
    <t>axe X :</t>
  </si>
  <si>
    <t>Mean =</t>
  </si>
  <si>
    <t>Moyenne =</t>
  </si>
  <si>
    <t>Only change the cells in yellow</t>
  </si>
  <si>
    <t>Font Size :</t>
  </si>
  <si>
    <t>Graphics info :</t>
  </si>
  <si>
    <t>Serie value :</t>
  </si>
  <si>
    <t>B12:B124</t>
  </si>
  <si>
    <t>English :</t>
  </si>
  <si>
    <t>French :</t>
  </si>
  <si>
    <r>
      <t>Ecart-standart = Ecart-type (1</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</si>
  <si>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r>
      <t>Ecart-standart = Ecart-type (2</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</si>
  <si>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t>Mean deviation =</t>
  </si>
  <si>
    <t>Range to process :</t>
  </si>
  <si>
    <t>Normal law of probability distribution</t>
  </si>
  <si>
    <t>Marker</t>
  </si>
  <si>
    <t>Histogram</t>
  </si>
  <si>
    <t>Range</t>
  </si>
  <si>
    <t>Mean range</t>
  </si>
  <si>
    <t>Precision (graph) :</t>
  </si>
  <si>
    <t>Samples column :</t>
  </si>
  <si>
    <t>Concentration [ppm]</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</si>
  <si>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</si>
  <si>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</si>
  <si>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</si>
  <si>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</si>
  <si>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</si>
  <si>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</si>
  <si>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</si>
  <si>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</si>
  <si>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</si>
  <si>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</si>
  <si>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</si>
  <si>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</si>
  <si>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</si>
  <si>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</si>
  <si>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</si>
  <si>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</si>
  <si>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</si>
  <si>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</si>
  <si>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</si>
  <si>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</si>
  <si>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</si>
  <si>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</si>
  <si>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</si>
  <si>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</si>
  <si>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</si>
  <si>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</si>
  <si>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</si>
  <si>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</si>
  <si>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</si>
  <si>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</si>
  <si>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</si>
  <si>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</si>
  <si>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</si>
  <si>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</si>
  <si>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</si>
  <si>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</si>
  <si>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</si>
  <si>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</si>
  <si>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</si>
  <si>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</si>
  <si>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</si>
  <si>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</si>
  <si>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</si>
  <si>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</si>
  <si>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</si>
  <si>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</si>
  <si>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</si>
  <si>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</si>
  <si>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</si>
  <si>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</si>
  <si>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</si>
  <si>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</si>
  <si>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</si>
  <si>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</si>
  <si>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</si>
  <si>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</si>
  <si>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</si>
  <si>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</si>
  <si>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</si>
  <si>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</si>
  <si>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</si>
  <si>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</si>
  <si>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</si>
  <si>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</si>
  <si>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</si>
  <si>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</si>
  <si>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</si>
  <si>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</si>
  <si>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</si>
  <si>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</si>
  <si>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</si>
  <si>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</si>
  <si>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</si>
  <si>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</si>
  <si>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</si>
  <si>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</si>
  <si>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</si>
  <si>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</si>
  <si>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</si>
  <si>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</si>
  <si>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</si>
  <si>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</si>
  <si>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Use this graphic to plot 3 to 4 Y data in a ternary or double ternary diagrame. Excel will handle relative abondance value (sum = 1) or any value (sum &lt;&gt; 1). In the second case an automatic realtive abundance is calculated to correctly plot data.</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</si>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</sst>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C]d\-mmm;@"/>
    <numFmt numFmtId="165" formatCode="0.0"/>
    <numFmt numFmtId="166" formatCode="0.000"/>
  </numFmts>
  <fonts count="3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1"/>
      <name val="Calibri"/>
      <family val="2"/>
      <scheme val="minor"/>
    </font>
    <font>
      <i/>
      <sz val="12"/>
      <color theme="1"/>
      <name val="Calibri"/>
      <family val="2"/>
      <scheme val="minor"/>
    </font>
    <font>
      <b/>
      <i/>
      <sz val="12"/>
      <color theme="1"/>
      <name val="Calibri"/>
      <family val="2"/>
      <scheme val="minor"/>
    </font>
    <font>
      <i/>
      <sz val="12"/>
      <name val="Calibri"/>
      <family val="2"/>
      <scheme val="minor"/>
    </font>
    <font>
      <b/>
      <sz val="12"/>
      <color theme="1"/>
      <name val="Calibri"/>
      <family val="2"/>
      <scheme val="minor"/>
    </font>
    <font>
      <i/>
      <sz val="10"/>
      <color theme="1"/>
      <name val="Calibri"/>
      <family val="2"/>
      <scheme val="minor"/>
    </font>
    <font>
      <i/>
      <u/>
      <sz val="11"/>
      <color theme="1"/>
      <name val="Calibri"/>
      <family val="2"/>
      <scheme val="minor"/>
    </font>
    <font>
      <i/>
      <u/>
      <sz val="12"/>
      <color theme="1"/>
      <name val="Calibri"/>
      <family val="2"/>
      <scheme val="minor"/>
    </font>
    <font>
      <u/>
      <sz val="14"/>
      <color theme="1"/>
      <name val="Calibri"/>
      <family val="2"/>
      <scheme val="minor"/>
    </font>
    <font>
      <u/>
      <sz val="11"/>
      <color theme="1"/>
      <name val="Calibri"/>
      <family val="2"/>
      <scheme val="minor"/>
    </font>
    <font>
      <u/>
      <sz val="11"/>
      <color theme="0" tint="-0.34998626667073579"/>
      <name val="Calibri"/>
      <family val="2"/>
      <scheme val="minor"/>
    </font>
    <font>
      <i/>
      <sz val="11"/>
      <color theme="0" tint="-0.34998626667073579"/>
      <name val="Calibri"/>
      <family val="2"/>
      <scheme val="minor"/>
    </font>
    <font>
      <sz val="11"/>
      <color theme="0" tint="-0.34998626667073579"/>
      <name val="Times New Roman"/>
      <family val="1"/>
    </font>
    <font>
      <i/>
      <sz val="12.65"/>
      <color theme="0" tint="-0.34998626667073579"/>
      <name val="Calibri"/>
      <family val="2"/>
    </font>
    <font>
      <b/>
      <i/>
      <sz val="14"/>
      <name val="Calibri"/>
      <family val="2"/>
      <scheme val="minor"/>
    </font>
    <font>
      <u/>
      <sz val="14"/>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0" tint="-0.249977111117893"/>
        <bgColor indexed="64"/>
      </patternFill>
    </fill>
    <fill>
      <patternFill patternType="solid">
        <fgColor theme="9"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66"/>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theme="2" tint="-9.9978637043366805E-2"/>
        <bgColor indexed="64"/>
      </patternFill>
    </fill>
  </fills>
  <borders count="34">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61">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31" xfId="0" applyBorder="1"/>
    <xf numFmtId="0" fontId="0" fillId="0" borderId="9" xfId="0" applyBorder="1" applyAlignment="1">
      <alignment horizontal="center" vertical="center"/>
    </xf>
    <xf numFmtId="0" fontId="0" fillId="0" borderId="10" xfId="0" applyBorder="1" applyAlignment="1">
      <alignment horizontal="center" vertical="center"/>
    </xf>
    <xf numFmtId="165" fontId="0" fillId="0" borderId="0" xfId="0" applyNumberFormat="1"/>
    <xf numFmtId="2" fontId="0" fillId="0" borderId="0" xfId="0" applyNumberFormat="1"/>
    <xf numFmtId="0" fontId="0" fillId="0" borderId="0" xfId="0" applyAlignment="1">
      <alignment horizontal="center"/>
    </xf>
    <xf numFmtId="0" fontId="0" fillId="22" borderId="0" xfId="0" applyFill="1"/>
    <xf numFmtId="0" fontId="1" fillId="0" borderId="0" xfId="5" applyAlignment="1">
      <alignment horizontal="center"/>
    </xf>
    <xf numFmtId="0" fontId="0" fillId="23" borderId="0" xfId="0" applyFill="1"/>
    <xf numFmtId="0" fontId="0" fillId="2" borderId="0" xfId="0" applyFill="1"/>
    <xf numFmtId="165" fontId="0" fillId="2" borderId="0" xfId="0" applyNumberFormat="1" applyFill="1"/>
    <xf numFmtId="0" fontId="0" fillId="2" borderId="0" xfId="0" applyFill="1" applyAlignment="1">
      <alignment horizontal="right"/>
    </xf>
    <xf numFmtId="0" fontId="6" fillId="24" borderId="0" xfId="0" applyFont="1" applyFill="1" applyAlignment="1">
      <alignment horizontal="center" vertical="center"/>
    </xf>
    <xf numFmtId="0" fontId="6" fillId="24" borderId="0" xfId="0" applyFont="1" applyFill="1" applyAlignment="1">
      <alignment horizontal="center" vertical="center" wrapText="1"/>
    </xf>
    <xf numFmtId="0" fontId="22" fillId="25" borderId="0" xfId="0" applyFont="1" applyFill="1" applyAlignment="1">
      <alignment horizontal="center" vertical="center"/>
    </xf>
    <xf numFmtId="0" fontId="22" fillId="2" borderId="0" xfId="0" applyFont="1" applyFill="1" applyAlignment="1">
      <alignment horizontal="center" vertical="center"/>
    </xf>
    <xf numFmtId="0" fontId="23" fillId="2" borderId="0" xfId="0" applyFont="1" applyFill="1" applyAlignment="1">
      <alignment horizontal="center" vertical="center" wrapText="1"/>
    </xf>
    <xf numFmtId="0" fontId="6" fillId="22" borderId="0" xfId="0" applyFont="1" applyFill="1" applyAlignment="1">
      <alignment horizontal="center" vertical="center"/>
    </xf>
    <xf numFmtId="0" fontId="6" fillId="26" borderId="0" xfId="0" applyFont="1" applyFill="1" applyAlignment="1">
      <alignment horizontal="center" vertical="center"/>
    </xf>
    <xf numFmtId="0" fontId="6" fillId="27" borderId="32" xfId="0" applyFont="1" applyFill="1" applyBorder="1" applyAlignment="1">
      <alignment horizontal="center" vertical="center"/>
    </xf>
    <xf numFmtId="0" fontId="24" fillId="0" borderId="0" xfId="0" applyFont="1" applyAlignment="1">
      <alignment horizontal="center" vertical="center" wrapText="1"/>
    </xf>
    <xf numFmtId="0" fontId="24" fillId="22" borderId="0" xfId="0" applyFont="1" applyFill="1" applyAlignment="1">
      <alignment horizontal="center" vertical="center" wrapText="1"/>
    </xf>
    <xf numFmtId="0" fontId="24" fillId="30" borderId="0" xfId="0" applyFont="1" applyFill="1" applyAlignment="1">
      <alignment horizontal="center" vertical="center" wrapText="1"/>
    </xf>
    <xf numFmtId="0" fontId="26" fillId="27" borderId="32" xfId="0" applyFont="1" applyFill="1" applyBorder="1" applyAlignment="1">
      <alignment horizontal="center" vertical="center" wrapText="1"/>
    </xf>
    <xf numFmtId="0" fontId="26" fillId="30" borderId="0" xfId="0" applyFont="1" applyFill="1" applyAlignment="1">
      <alignment horizontal="center" vertical="center" wrapText="1"/>
    </xf>
    <xf numFmtId="0" fontId="0" fillId="3" borderId="33" xfId="0" applyFill="1" applyBorder="1"/>
    <xf numFmtId="0" fontId="6" fillId="3" borderId="0" xfId="0" applyFont="1" applyFill="1"/>
    <xf numFmtId="0" fontId="6" fillId="3" borderId="33" xfId="0" applyFont="1" applyFill="1" applyBorder="1" applyAlignment="1">
      <alignment horizontal="right"/>
    </xf>
    <xf numFmtId="165" fontId="0" fillId="3" borderId="0" xfId="0" applyNumberFormat="1" applyFill="1" applyAlignment="1">
      <alignment horizontal="center"/>
    </xf>
    <xf numFmtId="0" fontId="6" fillId="3" borderId="0" xfId="0" applyFont="1" applyFill="1" applyAlignment="1">
      <alignment horizontal="right"/>
    </xf>
    <xf numFmtId="1" fontId="0" fillId="3" borderId="0" xfId="0" applyNumberFormat="1" applyFill="1" applyAlignment="1">
      <alignment horizontal="center"/>
    </xf>
    <xf numFmtId="0" fontId="0" fillId="3" borderId="0" xfId="0" applyFill="1" applyAlignment="1">
      <alignment horizontal="center"/>
    </xf>
    <xf numFmtId="0" fontId="27" fillId="3" borderId="0" xfId="0" applyFont="1" applyFill="1"/>
    <xf numFmtId="165" fontId="0" fillId="3" borderId="0" xfId="0" applyNumberFormat="1" applyFill="1" applyAlignment="1">
      <alignment horizontal="left"/>
    </xf>
    <xf numFmtId="0" fontId="23" fillId="3" borderId="33" xfId="0" applyFont="1" applyFill="1" applyBorder="1" applyAlignment="1">
      <alignment horizontal="right"/>
    </xf>
    <xf numFmtId="0" fontId="24" fillId="3" borderId="0" xfId="0" applyFont="1" applyFill="1" applyAlignment="1">
      <alignment horizontal="left"/>
    </xf>
    <xf numFmtId="0" fontId="23" fillId="0" borderId="0" xfId="0" applyFont="1"/>
    <xf numFmtId="0" fontId="23" fillId="3" borderId="0" xfId="0" applyFont="1" applyFill="1"/>
    <xf numFmtId="165" fontId="26" fillId="3" borderId="0" xfId="0" applyNumberFormat="1" applyFont="1" applyFill="1" applyAlignment="1">
      <alignment horizontal="left"/>
    </xf>
    <xf numFmtId="2" fontId="6" fillId="3" borderId="0" xfId="0" applyNumberFormat="1" applyFont="1" applyFill="1" applyAlignment="1">
      <alignment horizontal="right"/>
    </xf>
    <xf numFmtId="0" fontId="26" fillId="0" borderId="0" xfId="0" applyFont="1" applyAlignment="1">
      <alignment horizontal="left"/>
    </xf>
    <xf numFmtId="0" fontId="26" fillId="3" borderId="0" xfId="0" applyFont="1" applyFill="1" applyAlignment="1">
      <alignment horizontal="left"/>
    </xf>
    <xf numFmtId="0" fontId="26" fillId="3" borderId="0" xfId="0" applyFont="1" applyFill="1" applyAlignment="1">
      <alignment horizontal="center"/>
    </xf>
    <xf numFmtId="0" fontId="28" fillId="3" borderId="0" xfId="0" applyFont="1" applyFill="1"/>
    <xf numFmtId="0" fontId="26" fillId="27" borderId="32" xfId="0" applyFont="1" applyFill="1" applyBorder="1" applyAlignment="1">
      <alignment horizontal="center" vertical="center"/>
    </xf>
    <xf numFmtId="0" fontId="29" fillId="3" borderId="0" xfId="0" applyFont="1" applyFill="1" applyAlignment="1">
      <alignment horizontal="right"/>
    </xf>
    <xf numFmtId="0" fontId="26" fillId="27" borderId="32" xfId="0" applyFont="1" applyFill="1" applyBorder="1"/>
    <xf numFmtId="0" fontId="30" fillId="0" borderId="0" xfId="0" applyFont="1"/>
    <xf numFmtId="2" fontId="0" fillId="2" borderId="0" xfId="0" applyNumberFormat="1" applyFill="1"/>
    <xf numFmtId="166" fontId="0" fillId="0" borderId="0" xfId="0" applyNumberFormat="1"/>
    <xf numFmtId="0" fontId="31" fillId="3" borderId="0" xfId="0" applyFont="1" applyFill="1"/>
    <xf numFmtId="0" fontId="32" fillId="3" borderId="0" xfId="0" applyFont="1" applyFill="1"/>
    <xf numFmtId="0" fontId="33" fillId="3" borderId="0" xfId="0" applyFont="1" applyFill="1" applyAlignment="1">
      <alignment horizontal="right"/>
    </xf>
    <xf numFmtId="0" fontId="30" fillId="3" borderId="0" xfId="0" applyFont="1" applyFill="1"/>
    <xf numFmtId="0" fontId="36" fillId="31" borderId="0" xfId="0" applyFont="1" applyFill="1"/>
    <xf numFmtId="0" fontId="37" fillId="31" borderId="0" xfId="0" applyFont="1" applyFill="1"/>
    <xf numFmtId="0" fontId="0" fillId="0" borderId="13" xfId="0" applyBorder="1" applyAlignment="1">
      <alignment horizontal="right" vertical="center" wrapText="1"/>
    </xf>
    <xf numFmtId="0" fontId="0" fillId="21" borderId="0" xfId="0" applyFill="1" applyAlignment="1">
      <alignment horizontal="center" vertical="center"/>
    </xf>
    <xf numFmtId="0" fontId="21" fillId="32" borderId="11" xfId="0" applyFont="1" applyFill="1" applyBorder="1" applyAlignment="1">
      <alignment horizontal="center" vertical="center" wrapText="1"/>
    </xf>
    <xf numFmtId="0" fontId="21" fillId="32" borderId="12" xfId="0" applyFont="1" applyFill="1" applyBorder="1" applyAlignment="1">
      <alignment horizontal="center" vertical="center" wrapText="1"/>
    </xf>
    <xf numFmtId="0" fontId="21" fillId="32" borderId="9" xfId="0" applyFont="1" applyFill="1" applyBorder="1" applyAlignment="1">
      <alignment horizontal="center" vertical="center" wrapText="1"/>
    </xf>
    <xf numFmtId="0" fontId="21" fillId="3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3" fillId="0" borderId="3" xfId="0" applyFont="1" applyBorder="1" applyAlignment="1">
      <alignment horizontal="center" vertical="center"/>
    </xf>
    <xf numFmtId="0" fontId="0" fillId="3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9" fillId="13" borderId="26" xfId="0" applyFont="1" applyFill="1" applyBorder="1" applyAlignment="1">
      <alignment horizontal="right" vertical="center"/>
    </xf>
    <xf numFmtId="0" fontId="25" fillId="16" borderId="0" xfId="0" applyFont="1" applyFill="1" applyAlignment="1">
      <alignment horizontal="center" vertical="center" wrapText="1"/>
    </xf>
    <xf numFmtId="0" fontId="25" fillId="29" borderId="0" xfId="0" applyFont="1" applyFill="1" applyAlignment="1">
      <alignment horizontal="center" vertical="center" wrapText="1"/>
    </xf>
    <xf numFmtId="0" fontId="24" fillId="28" borderId="0" xfId="0" applyFont="1" applyFill="1" applyAlignment="1">
      <alignment horizontal="center" vertical="center" wrapText="1"/>
    </xf>
    <xf numFmtId="0" fontId="9" fillId="13" borderId="24" xfId="0"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CC3399"/>
    </indexedColors>
    <mruColors>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82445152840144"/>
          <c:y val="0.11869819425613962"/>
          <c:w val="0.66108208174849992"/>
          <c:h val="0.73675320529548927"/>
        </c:manualLayout>
      </c:layout>
      <c:barChart>
        <c:barDir val="col"/>
        <c:grouping val="clustered"/>
        <c:varyColors val="0"/>
        <c:ser>
          <c:idx val="4"/>
          <c:order val="0"/>
          <c:tx>
            <c:strRef>
              <c:f>'Normal law'!$N$10:$P$10</c:f>
              <c:strCache>
                <c:ptCount val="1"/>
                <c:pt idx="0">
                  <c:v>Histogram</c:v>
                </c:pt>
              </c:strCache>
            </c:strRef>
          </c:tx>
          <c:spPr>
            <a:solidFill>
              <a:schemeClr val="accent1">
                <a:lumMod val="40000"/>
                <a:lumOff val="60000"/>
              </a:schemeClr>
            </a:solidFill>
            <a:ln>
              <a:solidFill>
                <a:schemeClr val="accent1">
                  <a:lumMod val="50000"/>
                </a:schemeClr>
              </a:solidFill>
            </a:ln>
          </c:spPr>
          <c:invertIfNegative val="0"/>
          <c:cat>
            <c:numRef>
              <c:f>'Normal law'!$O$12:$O$32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cat>
          <c:val>
            <c:numRef>
              <c:f>'Normal law'!$P$12:$P$32</c:f>
              <c:numCache>
                <c:formatCode>0.0</c:formatCode>
                <c:ptCount val="21"/>
                <c:pt idx="0">
                  <c:v>0</c:v>
                </c:pt>
                <c:pt idx="1">
                  <c:v>0</c:v>
                </c:pt>
                <c:pt idx="2">
                  <c:v>0</c:v>
                </c:pt>
                <c:pt idx="3">
                  <c:v>0</c:v>
                </c:pt>
                <c:pt idx="4">
                  <c:v>1</c:v>
                </c:pt>
                <c:pt idx="5">
                  <c:v>2</c:v>
                </c:pt>
                <c:pt idx="6">
                  <c:v>5</c:v>
                </c:pt>
                <c:pt idx="7">
                  <c:v>4</c:v>
                </c:pt>
                <c:pt idx="8">
                  <c:v>11</c:v>
                </c:pt>
                <c:pt idx="9">
                  <c:v>15</c:v>
                </c:pt>
                <c:pt idx="10">
                  <c:v>25</c:v>
                </c:pt>
                <c:pt idx="11">
                  <c:v>25</c:v>
                </c:pt>
                <c:pt idx="12">
                  <c:v>18</c:v>
                </c:pt>
                <c:pt idx="13">
                  <c:v>4</c:v>
                </c:pt>
                <c:pt idx="14">
                  <c:v>1</c:v>
                </c:pt>
                <c:pt idx="15">
                  <c:v>1</c:v>
                </c:pt>
                <c:pt idx="16">
                  <c:v>0</c:v>
                </c:pt>
                <c:pt idx="17">
                  <c:v>0</c:v>
                </c:pt>
                <c:pt idx="18">
                  <c:v>0</c:v>
                </c:pt>
                <c:pt idx="19">
                  <c:v>0</c:v>
                </c:pt>
                <c:pt idx="20">
                  <c:v>0</c:v>
                </c:pt>
              </c:numCache>
            </c:numRef>
          </c:val>
          <c:extLst>
            <c:ext xmlns:c16="http://schemas.microsoft.com/office/drawing/2014/chart" uri="{C3380CC4-5D6E-409C-BE32-E72D297353CC}">
              <c16:uniqueId val="{00000022-0E63-4ED7-A46A-5B01C0CA2AA0}"/>
            </c:ext>
          </c:extLst>
        </c:ser>
        <c:dLbls>
          <c:showLegendKey val="0"/>
          <c:showVal val="0"/>
          <c:showCatName val="0"/>
          <c:showSerName val="0"/>
          <c:showPercent val="0"/>
          <c:showBubbleSize val="0"/>
        </c:dLbls>
        <c:gapWidth val="0"/>
        <c:axId val="195836095"/>
        <c:axId val="195814047"/>
      </c:barChart>
      <c:scatterChart>
        <c:scatterStyle val="smoothMarker"/>
        <c:varyColors val="0"/>
        <c:ser>
          <c:idx val="5"/>
          <c:order val="1"/>
          <c:tx>
            <c:strRef>
              <c:f>'Normal law'!$B$10</c:f>
              <c:strCache>
                <c:ptCount val="1"/>
                <c:pt idx="0">
                  <c:v>Th/U</c:v>
                </c:pt>
              </c:strCache>
            </c:strRef>
          </c:tx>
          <c:spPr>
            <a:ln w="22225" cap="rnd">
              <a:solidFill>
                <a:schemeClr val="tx1"/>
              </a:solidFill>
              <a:prstDash val="sysDot"/>
              <a:round/>
            </a:ln>
            <a:effectLst>
              <a:softEdge rad="0"/>
            </a:effectLst>
          </c:spPr>
          <c:marker>
            <c:symbol val="none"/>
          </c:marker>
          <c:xVal>
            <c:numRef>
              <c:f>'Normal law'!$G$12:$G$32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xVal>
          <c:yVal>
            <c:numRef>
              <c:f>'Normal law'!$H$12:$H$32</c:f>
              <c:numCache>
                <c:formatCode>0.00</c:formatCode>
                <c:ptCount val="21"/>
                <c:pt idx="0">
                  <c:v>4.1332648587745473E-6</c:v>
                </c:pt>
                <c:pt idx="1">
                  <c:v>4.4436784998231023E-5</c:v>
                </c:pt>
                <c:pt idx="2">
                  <c:v>3.7206464549213855E-4</c:v>
                </c:pt>
                <c:pt idx="3">
                  <c:v>2.4261662543239772E-3</c:v>
                </c:pt>
                <c:pt idx="4">
                  <c:v>1.2321088893322736E-2</c:v>
                </c:pt>
                <c:pt idx="5">
                  <c:v>4.8730851883016006E-2</c:v>
                </c:pt>
                <c:pt idx="6">
                  <c:v>0.15010159103219795</c:v>
                </c:pt>
                <c:pt idx="7">
                  <c:v>0.36007499831229173</c:v>
                </c:pt>
                <c:pt idx="8">
                  <c:v>0.67270865996935159</c:v>
                </c:pt>
                <c:pt idx="9">
                  <c:v>0.97878532479471991</c:v>
                </c:pt>
                <c:pt idx="10">
                  <c:v>1.1091090766756473</c:v>
                </c:pt>
                <c:pt idx="11">
                  <c:v>0.97878532479471991</c:v>
                </c:pt>
                <c:pt idx="12">
                  <c:v>0.67270865996935159</c:v>
                </c:pt>
                <c:pt idx="13">
                  <c:v>0.36007499831229173</c:v>
                </c:pt>
                <c:pt idx="14">
                  <c:v>0.15010159103219795</c:v>
                </c:pt>
                <c:pt idx="15">
                  <c:v>4.8730851883016006E-2</c:v>
                </c:pt>
                <c:pt idx="16">
                  <c:v>1.2321088893322736E-2</c:v>
                </c:pt>
                <c:pt idx="17">
                  <c:v>2.4261662543239772E-3</c:v>
                </c:pt>
                <c:pt idx="18">
                  <c:v>3.7206464549213855E-4</c:v>
                </c:pt>
                <c:pt idx="19">
                  <c:v>4.4436784998231023E-5</c:v>
                </c:pt>
                <c:pt idx="20">
                  <c:v>4.1332648587745473E-6</c:v>
                </c:pt>
              </c:numCache>
            </c:numRef>
          </c:yVal>
          <c:smooth val="1"/>
          <c:extLst>
            <c:ext xmlns:c16="http://schemas.microsoft.com/office/drawing/2014/chart" uri="{C3380CC4-5D6E-409C-BE32-E72D297353CC}">
              <c16:uniqueId val="{00000023-0E63-4ED7-A46A-5B01C0CA2AA0}"/>
            </c:ext>
          </c:extLst>
        </c:ser>
        <c:ser>
          <c:idx val="1"/>
          <c:order val="2"/>
          <c:tx>
            <c:strRef>
              <c:f>'Normal law'!$I$15</c:f>
              <c:strCache>
                <c:ptCount val="1"/>
                <c:pt idx="0">
                  <c:v>1σ</c:v>
                </c:pt>
              </c:strCache>
            </c:strRef>
          </c:tx>
          <c:spPr>
            <a:ln w="38100" cap="rnd">
              <a:solidFill>
                <a:schemeClr val="bg1">
                  <a:lumMod val="75000"/>
                </a:schemeClr>
              </a:solidFill>
            </a:ln>
          </c:spPr>
          <c:marker>
            <c:symbol val="none"/>
          </c:marker>
          <c:dLbls>
            <c:dLbl>
              <c:idx val="0"/>
              <c:tx>
                <c:rich>
                  <a:bodyPr/>
                  <a:lstStyle/>
                  <a:p>
                    <a:fld id="{9953CB89-77E6-484C-9DB4-8B34CE26367D}"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law'!$J$15:$J$16</c:f>
              <c:numCache>
                <c:formatCode>0.0</c:formatCode>
                <c:ptCount val="2"/>
                <c:pt idx="0">
                  <c:v>17.664500264514068</c:v>
                </c:pt>
                <c:pt idx="1">
                  <c:v>18.38389259262879</c:v>
                </c:pt>
              </c:numCache>
            </c:numRef>
          </c:xVal>
          <c:yVal>
            <c:numRef>
              <c:f>'Normal law'!$K$15:$K$16</c:f>
              <c:numCache>
                <c:formatCode>0.00</c:formatCode>
                <c:ptCount val="2"/>
                <c:pt idx="0">
                  <c:v>1.1645645305094297</c:v>
                </c:pt>
                <c:pt idx="1">
                  <c:v>1.1645645305094297</c:v>
                </c:pt>
              </c:numCache>
            </c:numRef>
          </c:yVal>
          <c:smooth val="1"/>
          <c:extLst>
            <c:ext xmlns:c15="http://schemas.microsoft.com/office/drawing/2012/chart" uri="{02D57815-91ED-43cb-92C2-25804820EDAC}">
              <c15:datalabelsRange>
                <c15:f>'Normal law'!$I$16</c15:f>
                <c15:dlblRangeCache>
                  <c:ptCount val="1"/>
                  <c:pt idx="0">
                    <c:v>1σ ± 0.36</c:v>
                  </c:pt>
                </c15:dlblRangeCache>
              </c15:datalabelsRange>
            </c:ext>
            <c:ext xmlns:c16="http://schemas.microsoft.com/office/drawing/2014/chart" uri="{C3380CC4-5D6E-409C-BE32-E72D297353CC}">
              <c16:uniqueId val="{0000001D-0E63-4ED7-A46A-5B01C0CA2AA0}"/>
            </c:ext>
          </c:extLst>
        </c:ser>
        <c:ser>
          <c:idx val="2"/>
          <c:order val="3"/>
          <c:tx>
            <c:strRef>
              <c:f>'Normal law'!$I$18</c:f>
              <c:strCache>
                <c:ptCount val="1"/>
                <c:pt idx="0">
                  <c:v>2σ</c:v>
                </c:pt>
              </c:strCache>
            </c:strRef>
          </c:tx>
          <c:spPr>
            <a:ln w="76200" cap="rnd">
              <a:solidFill>
                <a:schemeClr val="bg1">
                  <a:lumMod val="50000"/>
                </a:schemeClr>
              </a:solidFill>
            </a:ln>
          </c:spPr>
          <c:marker>
            <c:symbol val="none"/>
          </c:marker>
          <c:dLbls>
            <c:dLbl>
              <c:idx val="0"/>
              <c:tx>
                <c:rich>
                  <a:bodyPr/>
                  <a:lstStyle/>
                  <a:p>
                    <a:fld id="{E1E86CA4-0965-4C9D-BC5D-E92A3710A367}"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law'!$J$18:$J$19</c:f>
              <c:numCache>
                <c:formatCode>0.0</c:formatCode>
                <c:ptCount val="2"/>
                <c:pt idx="0">
                  <c:v>17.304804100456707</c:v>
                </c:pt>
                <c:pt idx="1">
                  <c:v>18.743588756686151</c:v>
                </c:pt>
              </c:numCache>
            </c:numRef>
          </c:xVal>
          <c:yVal>
            <c:numRef>
              <c:f>'Normal law'!$K$18:$K$19</c:f>
              <c:numCache>
                <c:formatCode>0.00</c:formatCode>
                <c:ptCount val="2"/>
                <c:pt idx="0">
                  <c:v>1.2422021658767251</c:v>
                </c:pt>
                <c:pt idx="1">
                  <c:v>1.2422021658767251</c:v>
                </c:pt>
              </c:numCache>
            </c:numRef>
          </c:yVal>
          <c:smooth val="1"/>
          <c:extLst>
            <c:ext xmlns:c15="http://schemas.microsoft.com/office/drawing/2012/chart" uri="{02D57815-91ED-43cb-92C2-25804820EDAC}">
              <c15:datalabelsRange>
                <c15:f>'Normal law'!$I$19</c15:f>
                <c15:dlblRangeCache>
                  <c:ptCount val="1"/>
                  <c:pt idx="0">
                    <c:v>2σ ± 0.72</c:v>
                  </c:pt>
                </c15:dlblRangeCache>
              </c15:datalabelsRange>
            </c:ext>
            <c:ext xmlns:c16="http://schemas.microsoft.com/office/drawing/2014/chart" uri="{C3380CC4-5D6E-409C-BE32-E72D297353CC}">
              <c16:uniqueId val="{00000021-0E63-4ED7-A46A-5B01C0CA2AA0}"/>
            </c:ext>
          </c:extLst>
        </c:ser>
        <c:ser>
          <c:idx val="0"/>
          <c:order val="4"/>
          <c:tx>
            <c:strRef>
              <c:f>'Normal law'!$I$12</c:f>
              <c:strCache>
                <c:ptCount val="1"/>
                <c:pt idx="0">
                  <c:v>mean</c:v>
                </c:pt>
              </c:strCache>
            </c:strRef>
          </c:tx>
          <c:spPr>
            <a:ln w="31750" cap="flat">
              <a:solidFill>
                <a:schemeClr val="tx1"/>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0E63-4ED7-A46A-5B01C0CA2AA0}"/>
                </c:ext>
              </c:extLst>
            </c:dLbl>
            <c:dLbl>
              <c:idx val="1"/>
              <c:tx>
                <c:rich>
                  <a:bodyPr/>
                  <a:lstStyle/>
                  <a:p>
                    <a:fld id="{F0D57F31-58C0-4B40-9766-7F595B1DC99F}"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0E63-4ED7-A46A-5B01C0CA2AA0}"/>
                </c:ext>
              </c:extLst>
            </c:dLbl>
            <c:spPr>
              <a:noFill/>
              <a:ln>
                <a:noFill/>
              </a:ln>
              <a:effectLst/>
            </c:spPr>
            <c:txPr>
              <a:bodyPr wrap="square" lIns="38100" tIns="19050" rIns="38100" bIns="19050" anchor="ctr">
                <a:spAutoFit/>
              </a:bodyPr>
              <a:lstStyle/>
              <a:p>
                <a:pPr>
                  <a:defRPr b="1" i="1"/>
                </a:pPr>
                <a:endParaRPr lang="fr-FR"/>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law'!$J$12:$J$13</c:f>
              <c:numCache>
                <c:formatCode>0.0</c:formatCode>
                <c:ptCount val="2"/>
                <c:pt idx="0">
                  <c:v>18.02</c:v>
                </c:pt>
                <c:pt idx="1">
                  <c:v>18.024196428571429</c:v>
                </c:pt>
              </c:numCache>
            </c:numRef>
          </c:xVal>
          <c:yVal>
            <c:numRef>
              <c:f>'Normal law'!$K$12:$K$13</c:f>
              <c:numCache>
                <c:formatCode>0.00</c:formatCode>
                <c:ptCount val="2"/>
                <c:pt idx="0" formatCode="General">
                  <c:v>0</c:v>
                </c:pt>
                <c:pt idx="1">
                  <c:v>1.2754754381769944</c:v>
                </c:pt>
              </c:numCache>
            </c:numRef>
          </c:yVal>
          <c:smooth val="1"/>
          <c:extLst>
            <c:ext xmlns:c15="http://schemas.microsoft.com/office/drawing/2012/chart" uri="{02D57815-91ED-43cb-92C2-25804820EDAC}">
              <c15:datalabelsRange>
                <c15:f>'Normal law'!$I$12:$I$13</c15:f>
                <c15:dlblRangeCache>
                  <c:ptCount val="2"/>
                  <c:pt idx="0">
                    <c:v>mean</c:v>
                  </c:pt>
                  <c:pt idx="1">
                    <c:v>mean : 18.02</c:v>
                  </c:pt>
                </c15:dlblRangeCache>
              </c15:datalabelsRange>
            </c:ext>
            <c:ext xmlns:c16="http://schemas.microsoft.com/office/drawing/2014/chart" uri="{C3380CC4-5D6E-409C-BE32-E72D297353CC}">
              <c16:uniqueId val="{00000019-0E63-4ED7-A46A-5B01C0CA2AA0}"/>
            </c:ext>
          </c:extLst>
        </c:ser>
        <c:dLbls>
          <c:showLegendKey val="0"/>
          <c:showVal val="0"/>
          <c:showCatName val="0"/>
          <c:showSerName val="0"/>
          <c:showPercent val="0"/>
          <c:showBubbleSize val="0"/>
        </c:dLbls>
        <c:axId val="1183630512"/>
        <c:axId val="1183636336"/>
      </c:scatterChart>
      <c:valAx>
        <c:axId val="1183630512"/>
        <c:scaling>
          <c:orientation val="minMax"/>
          <c:max val="19.822677248858238"/>
          <c:min val="16.22571560828462"/>
        </c:scaling>
        <c:delete val="0"/>
        <c:axPos val="b"/>
        <c:title>
          <c:tx>
            <c:strRef>
              <c:f>'Normal law'!$L$3</c:f>
              <c:strCache>
                <c:ptCount val="1"/>
                <c:pt idx="0">
                  <c:v>Th/U [ratio]</c:v>
                </c:pt>
              </c:strCache>
            </c:strRef>
          </c:tx>
          <c:layout>
            <c:manualLayout>
              <c:xMode val="edge"/>
              <c:yMode val="edge"/>
              <c:x val="0.41282465854951844"/>
              <c:y val="0.93759750211404846"/>
            </c:manualLayout>
          </c:layout>
          <c:overlay val="0"/>
          <c:txPr>
            <a:bodyPr/>
            <a:lstStyle/>
            <a:p>
              <a:pPr>
                <a:defRPr/>
              </a:pPr>
              <a:endParaRPr lang="fr-FR"/>
            </a:p>
          </c:txPr>
        </c:title>
        <c:numFmt formatCode="#,##0.00" sourceLinked="0"/>
        <c:majorTickMark val="cross"/>
        <c:minorTickMark val="out"/>
        <c:tickLblPos val="nextTo"/>
        <c:spPr>
          <a:noFill/>
          <a:ln w="9525" cap="flat" cmpd="sng" algn="ctr">
            <a:solidFill>
              <a:schemeClr val="tx1"/>
            </a:solidFill>
            <a:round/>
          </a:ln>
          <a:effectLst/>
        </c:spPr>
        <c:txPr>
          <a:bodyPr rot="-60000000" vert="horz"/>
          <a:lstStyle/>
          <a:p>
            <a:pPr>
              <a:defRPr/>
            </a:pPr>
            <a:endParaRPr lang="fr-FR"/>
          </a:p>
        </c:txPr>
        <c:crossAx val="1183636336"/>
        <c:crosses val="autoZero"/>
        <c:crossBetween val="midCat"/>
      </c:valAx>
      <c:valAx>
        <c:axId val="1183636336"/>
        <c:scaling>
          <c:orientation val="minMax"/>
        </c:scaling>
        <c:delete val="0"/>
        <c:axPos val="l"/>
        <c:title>
          <c:tx>
            <c:strRef>
              <c:f>'Normal law'!$L$4</c:f>
              <c:strCache>
                <c:ptCount val="1"/>
                <c:pt idx="0">
                  <c:v>Probability density function</c:v>
                </c:pt>
              </c:strCache>
            </c:strRef>
          </c:tx>
          <c:layout>
            <c:manualLayout>
              <c:xMode val="edge"/>
              <c:yMode val="edge"/>
              <c:x val="4.6862865546062053E-2"/>
              <c:y val="0.29282295917389894"/>
            </c:manualLayout>
          </c:layout>
          <c:overlay val="0"/>
          <c:txPr>
            <a:bodyPr/>
            <a:lstStyle/>
            <a:p>
              <a:pPr>
                <a:defRPr b="0" i="1"/>
              </a:pPr>
              <a:endParaRPr lang="fr-FR"/>
            </a:p>
          </c:txPr>
        </c:title>
        <c:numFmt formatCode="General" sourceLinked="0"/>
        <c:majorTickMark val="cross"/>
        <c:minorTickMark val="out"/>
        <c:tickLblPos val="nextTo"/>
        <c:spPr>
          <a:noFill/>
          <a:ln w="9525" cap="flat" cmpd="sng" algn="ctr">
            <a:solidFill>
              <a:schemeClr val="tx1"/>
            </a:solidFill>
            <a:round/>
          </a:ln>
          <a:effectLst/>
        </c:spPr>
        <c:txPr>
          <a:bodyPr rot="-60000000" vert="horz"/>
          <a:lstStyle/>
          <a:p>
            <a:pPr>
              <a:defRPr sz="900" i="1"/>
            </a:pPr>
            <a:endParaRPr lang="fr-FR"/>
          </a:p>
        </c:txPr>
        <c:crossAx val="1183630512"/>
        <c:crosses val="autoZero"/>
        <c:crossBetween val="midCat"/>
      </c:valAx>
      <c:valAx>
        <c:axId val="195814047"/>
        <c:scaling>
          <c:orientation val="minMax"/>
          <c:max val="37.5"/>
          <c:min val="0"/>
        </c:scaling>
        <c:delete val="0"/>
        <c:axPos val="r"/>
        <c:title>
          <c:tx>
            <c:strRef>
              <c:f>'Normal law'!$L$5</c:f>
              <c:strCache>
                <c:ptCount val="1"/>
                <c:pt idx="0">
                  <c:v>Nb of data</c:v>
                </c:pt>
              </c:strCache>
            </c:strRef>
          </c:tx>
          <c:overlay val="0"/>
          <c:txPr>
            <a:bodyPr/>
            <a:lstStyle/>
            <a:p>
              <a:pPr>
                <a:defRPr>
                  <a:solidFill>
                    <a:schemeClr val="accent1">
                      <a:lumMod val="75000"/>
                    </a:schemeClr>
                  </a:solidFill>
                </a:defRPr>
              </a:pPr>
              <a:endParaRPr lang="fr-FR"/>
            </a:p>
          </c:txPr>
        </c:title>
        <c:numFmt formatCode="General" sourceLinked="0"/>
        <c:majorTickMark val="out"/>
        <c:minorTickMark val="out"/>
        <c:tickLblPos val="nextTo"/>
        <c:spPr>
          <a:ln>
            <a:solidFill>
              <a:schemeClr val="accent1">
                <a:lumMod val="75000"/>
              </a:schemeClr>
            </a:solidFill>
          </a:ln>
        </c:spPr>
        <c:txPr>
          <a:bodyPr/>
          <a:lstStyle/>
          <a:p>
            <a:pPr>
              <a:defRPr>
                <a:solidFill>
                  <a:schemeClr val="accent1">
                    <a:lumMod val="75000"/>
                  </a:schemeClr>
                </a:solidFill>
              </a:defRPr>
            </a:pPr>
            <a:endParaRPr lang="fr-FR"/>
          </a:p>
        </c:txPr>
        <c:crossAx val="195836095"/>
        <c:crosses val="max"/>
        <c:crossBetween val="midCat"/>
      </c:valAx>
      <c:catAx>
        <c:axId val="195836095"/>
        <c:scaling>
          <c:orientation val="minMax"/>
        </c:scaling>
        <c:delete val="1"/>
        <c:axPos val="b"/>
        <c:numFmt formatCode="0.000" sourceLinked="1"/>
        <c:majorTickMark val="out"/>
        <c:minorTickMark val="none"/>
        <c:tickLblPos val="nextTo"/>
        <c:crossAx val="195814047"/>
        <c:crosses val="autoZero"/>
        <c:auto val="1"/>
        <c:lblAlgn val="ctr"/>
        <c:lblOffset val="100"/>
        <c:tickMarkSkip val="1"/>
        <c:noMultiLvlLbl val="0"/>
      </c:catAx>
    </c:plotArea>
    <c:plotVisOnly val="1"/>
    <c:dispBlanksAs val="gap"/>
    <c:showDLblsOverMax val="0"/>
    <c:extLst/>
  </c:chart>
  <c:txPr>
    <a:bodyPr/>
    <a:lstStyle/>
    <a:p>
      <a:pPr>
        <a:defRPr sz="1100">
          <a:solidFill>
            <a:sysClr val="windowText" lastClr="000000"/>
          </a:solidFill>
        </a:defRPr>
      </a:pPr>
      <a:endParaRPr lang="fr-FR"/>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769209</xdr:colOff>
      <xdr:row>9</xdr:row>
      <xdr:rowOff>485775</xdr:rowOff>
    </xdr:from>
    <xdr:to>
      <xdr:col>12</xdr:col>
      <xdr:colOff>220118</xdr:colOff>
      <xdr:row>32</xdr:row>
      <xdr:rowOff>131108</xdr:rowOff>
    </xdr:to>
    <xdr:graphicFrame macro="">
      <xdr:nvGraphicFramePr>
        <xdr:cNvPr id="3" name="graph_histogram">
          <a:extLst>
            <a:ext uri="{FF2B5EF4-FFF2-40B4-BE49-F238E27FC236}">
              <a16:creationId xmlns:a16="http://schemas.microsoft.com/office/drawing/2014/main" id="{65512732-76AF-4BC6-9C9D-F2AA1DC2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0.82768</cdr:x>
      <cdr:y>0</cdr:y>
    </cdr:from>
    <cdr:to>
      <cdr:x>1</cdr:x>
      <cdr:y>0.11903</cdr:y>
    </cdr:to>
    <cdr:sp macro="" textlink="'Normal law'!$L$8">
      <cdr:nvSpPr>
        <cdr:cNvPr id="2" name="ZoneTexte 1">
          <a:extLst xmlns:a="http://schemas.openxmlformats.org/drawingml/2006/main">
            <a:ext uri="{FF2B5EF4-FFF2-40B4-BE49-F238E27FC236}">
              <a16:creationId xmlns:a16="http://schemas.microsoft.com/office/drawing/2014/main" id="{D9FA1171-E7B7-42E2-A7E5-4F4D2DF66299}"/>
            </a:ext>
          </a:extLst>
        </cdr:cNvPr>
        <cdr:cNvSpPr txBox="1"/>
      </cdr:nvSpPr>
      <cdr:spPr>
        <a:xfrm xmlns:a="http://schemas.openxmlformats.org/drawingml/2006/main">
          <a:off x="5300594" y="0"/>
          <a:ext cx="1103565" cy="54280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85FDA7B4-8D6D-4A5A-9B37-EEC833A2D2C1}" type="TxLink">
            <a:rPr lang="en-US" sz="1100" b="1" i="1" u="none" strike="noStrike">
              <a:solidFill>
                <a:schemeClr val="accent1">
                  <a:lumMod val="75000"/>
                </a:schemeClr>
              </a:solidFill>
              <a:latin typeface="Calibri"/>
              <a:cs typeface="Calibri"/>
            </a:rPr>
            <a:pPr algn="ctr"/>
            <a:t>n = 112</a:t>
          </a:fld>
          <a:endParaRPr lang="fr-FR" sz="1100" b="1" i="1">
            <a:solidFill>
              <a:schemeClr val="accent1">
                <a:lumMod val="75000"/>
              </a:schemeClr>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topLeftCell="A6" zoomScale="80" zoomScaleNormal="80" workbookViewId="0">
      <selection activeCell="D43" sqref="D43"/>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698B7-9528-4971-8807-A2599D122358}">
  <sheetPr codeName="Feuil5">
    <tabColor theme="5" tint="0.79998168889431442"/>
  </sheetPr>
  <dimension ref="A1:S530"/>
  <sheetViews>
    <sheetView zoomScaleNormal="100" workbookViewId="0">
      <selection activeCell="S20" sqref="S20"/>
    </sheetView>
  </sheetViews>
  <sheetFormatPr baseColWidth="10" defaultRowHeight="15" x14ac:dyDescent="0.25"/>
  <cols>
    <col min="1" max="1" width="13.5703125" style="90" customWidth="1"/>
    <col min="4" max="4" width="12" bestFit="1" customWidth="1"/>
    <col min="8" max="8" width="12.28515625" bestFit="1" customWidth="1"/>
  </cols>
  <sheetData>
    <row r="1" spans="1:19" s="132" customFormat="1" ht="18.75" x14ac:dyDescent="0.3">
      <c r="A1" s="139" t="s">
        <v>136</v>
      </c>
      <c r="B1" s="140"/>
      <c r="C1" s="140"/>
      <c r="D1" s="138"/>
      <c r="E1" s="138"/>
      <c r="F1" s="138"/>
      <c r="G1" s="138"/>
      <c r="H1" s="138"/>
      <c r="I1" s="138"/>
      <c r="J1" s="138"/>
      <c r="K1" s="138"/>
      <c r="L1" s="138"/>
      <c r="M1" s="138"/>
      <c r="N1" s="138"/>
      <c r="O1" s="138"/>
      <c r="P1" s="138"/>
      <c r="Q1" s="138"/>
    </row>
    <row r="2" spans="1:19" x14ac:dyDescent="0.25">
      <c r="A2" s="5"/>
      <c r="B2" s="5"/>
      <c r="C2" s="5"/>
      <c r="D2" s="5"/>
      <c r="E2" s="5"/>
      <c r="F2" s="136" t="s">
        <v>142</v>
      </c>
      <c r="G2" s="5"/>
      <c r="H2" s="135" t="s">
        <v>141</v>
      </c>
      <c r="J2" s="5"/>
      <c r="K2" s="128" t="s">
        <v>138</v>
      </c>
      <c r="L2" s="5"/>
      <c r="M2" s="5"/>
      <c r="N2" s="5"/>
      <c r="O2" s="128" t="s">
        <v>139</v>
      </c>
      <c r="P2" s="5"/>
      <c r="Q2" s="5"/>
    </row>
    <row r="3" spans="1:19" s="125" customFormat="1" ht="16.5" thickBot="1" x14ac:dyDescent="0.3">
      <c r="A3" s="127"/>
      <c r="B3" s="126"/>
      <c r="C3" s="126"/>
      <c r="D3" s="126"/>
      <c r="E3" s="126"/>
      <c r="F3" s="137" t="s">
        <v>135</v>
      </c>
      <c r="G3" s="126"/>
      <c r="H3" s="114" t="s">
        <v>134</v>
      </c>
      <c r="I3" s="113">
        <f ca="1">AVERAGE(INDIRECT(C4))</f>
        <v>18.024196428571429</v>
      </c>
      <c r="J3" s="117" t="str">
        <f>$B$11</f>
        <v>[ratio]</v>
      </c>
      <c r="K3" s="119" t="s">
        <v>133</v>
      </c>
      <c r="L3" s="120" t="str">
        <f>B10&amp;" "&amp;B11</f>
        <v>Th/U [ratio]</v>
      </c>
      <c r="M3" s="126"/>
      <c r="N3" s="126"/>
      <c r="O3" s="119" t="s">
        <v>132</v>
      </c>
      <c r="P3" s="123">
        <f ca="1">MIN(INDIRECT(C4))</f>
        <v>16.97</v>
      </c>
      <c r="Q3" s="117" t="str">
        <f>$B$11</f>
        <v>[ratio]</v>
      </c>
    </row>
    <row r="4" spans="1:19" s="121" customFormat="1" ht="16.5" thickBot="1" x14ac:dyDescent="0.3">
      <c r="A4" s="122"/>
      <c r="B4" s="130" t="s">
        <v>146</v>
      </c>
      <c r="C4" s="131" t="s">
        <v>140</v>
      </c>
      <c r="D4" s="122"/>
      <c r="E4" s="122"/>
      <c r="F4" s="137" t="s">
        <v>131</v>
      </c>
      <c r="G4" s="122"/>
      <c r="H4" s="124" t="s">
        <v>145</v>
      </c>
      <c r="I4" s="113">
        <f ca="1">AVEDEV(INDIRECT(C4))</f>
        <v>0.27775031887755108</v>
      </c>
      <c r="J4" s="117" t="str">
        <f>$B$11</f>
        <v>[ratio]</v>
      </c>
      <c r="K4" s="119" t="s">
        <v>130</v>
      </c>
      <c r="L4" s="120" t="str">
        <f>"Probability density function"</f>
        <v>Probability density function</v>
      </c>
      <c r="M4" s="122"/>
      <c r="N4" s="122"/>
      <c r="O4" s="119" t="s">
        <v>129</v>
      </c>
      <c r="P4" s="123">
        <f ca="1">MAX(INDIRECT(C4))</f>
        <v>18.88</v>
      </c>
      <c r="Q4" s="117" t="str">
        <f>$B$11</f>
        <v>[ratio]</v>
      </c>
    </row>
    <row r="5" spans="1:19" ht="18" thickBot="1" x14ac:dyDescent="0.35">
      <c r="A5" s="116"/>
      <c r="B5" s="130" t="s">
        <v>152</v>
      </c>
      <c r="C5" s="129">
        <v>2</v>
      </c>
      <c r="D5" s="5"/>
      <c r="E5" s="5"/>
      <c r="F5" s="137" t="s">
        <v>143</v>
      </c>
      <c r="G5" s="5"/>
      <c r="H5" s="114" t="s">
        <v>128</v>
      </c>
      <c r="I5" s="113">
        <f ca="1">_xlfn.STDEV.S(INDIRECT(C4))</f>
        <v>0.35969616405736177</v>
      </c>
      <c r="J5" s="117" t="str">
        <f>$B$11</f>
        <v>[ratio]</v>
      </c>
      <c r="K5" s="119" t="s">
        <v>127</v>
      </c>
      <c r="L5" s="120" t="str">
        <f>"Nb of data"</f>
        <v>Nb of data</v>
      </c>
      <c r="M5" s="5"/>
      <c r="N5" s="5"/>
      <c r="O5" s="112"/>
      <c r="P5" s="5"/>
      <c r="Q5" s="5"/>
    </row>
    <row r="6" spans="1:19" ht="17.25" x14ac:dyDescent="0.3">
      <c r="A6" s="116"/>
      <c r="B6" s="5"/>
      <c r="C6" s="5"/>
      <c r="D6" s="5"/>
      <c r="E6" s="5"/>
      <c r="F6" s="137" t="s">
        <v>144</v>
      </c>
      <c r="G6" s="5"/>
      <c r="H6" s="114" t="s">
        <v>126</v>
      </c>
      <c r="I6" s="113">
        <f ca="1">I5*2</f>
        <v>0.71939232811472353</v>
      </c>
      <c r="J6" s="117" t="str">
        <f>$B$11</f>
        <v>[ratio]</v>
      </c>
      <c r="K6" s="110"/>
      <c r="L6" s="5"/>
      <c r="M6" s="5"/>
      <c r="N6" s="5"/>
      <c r="O6" s="119"/>
      <c r="P6" s="118"/>
      <c r="Q6" s="5"/>
    </row>
    <row r="7" spans="1:19" x14ac:dyDescent="0.25">
      <c r="A7" s="116"/>
      <c r="B7" s="5"/>
      <c r="C7" s="5"/>
      <c r="D7" s="5"/>
      <c r="E7" s="5"/>
      <c r="F7" s="137" t="s">
        <v>125</v>
      </c>
      <c r="G7" s="5"/>
      <c r="H7" s="114" t="s">
        <v>124</v>
      </c>
      <c r="I7" s="113">
        <f ca="1">_xlfn.STDEV.S(INDIRECT(C4))/SQRT(COUNT(INDIRECT(C4)))</f>
        <v>3.398809277284532E-2</v>
      </c>
      <c r="J7" s="117" t="str">
        <f>$B$11</f>
        <v>[ratio]</v>
      </c>
      <c r="K7" s="110"/>
      <c r="L7" s="5"/>
      <c r="M7" s="5"/>
      <c r="N7" s="5"/>
      <c r="O7" s="110"/>
      <c r="P7" s="5"/>
      <c r="Q7" s="5"/>
    </row>
    <row r="8" spans="1:19" x14ac:dyDescent="0.25">
      <c r="A8" s="116"/>
      <c r="B8" s="5"/>
      <c r="C8" s="5"/>
      <c r="D8" s="5"/>
      <c r="E8" s="5"/>
      <c r="F8" s="137" t="s">
        <v>123</v>
      </c>
      <c r="G8" s="5"/>
      <c r="H8" s="114" t="s">
        <v>123</v>
      </c>
      <c r="I8" s="115">
        <f ca="1">COUNT(INDIRECT(C4))</f>
        <v>112</v>
      </c>
      <c r="J8" s="5"/>
      <c r="K8" s="112" t="s">
        <v>122</v>
      </c>
      <c r="L8" s="111" t="str">
        <f ca="1">F8&amp;" "&amp;I8</f>
        <v>n = 112</v>
      </c>
      <c r="M8" s="5"/>
      <c r="N8" s="5"/>
      <c r="O8" s="110"/>
      <c r="P8" s="5"/>
      <c r="Q8" s="5"/>
    </row>
    <row r="9" spans="1:19" ht="15.75" thickBot="1" x14ac:dyDescent="0.3">
      <c r="A9" s="91"/>
      <c r="B9" s="91"/>
      <c r="C9" s="91"/>
      <c r="D9" s="91"/>
      <c r="E9" s="91"/>
      <c r="F9" s="91"/>
      <c r="G9" s="91"/>
      <c r="H9" s="91"/>
      <c r="I9" s="91"/>
      <c r="J9" s="91"/>
      <c r="K9" s="91"/>
      <c r="L9" s="91"/>
      <c r="M9" s="91"/>
      <c r="N9" s="91"/>
      <c r="O9" s="91"/>
      <c r="P9" s="91"/>
      <c r="Q9" s="91"/>
    </row>
    <row r="10" spans="1:19" s="105" customFormat="1" ht="39.75" customHeight="1" thickBot="1" x14ac:dyDescent="0.3">
      <c r="A10" s="109" t="s">
        <v>0</v>
      </c>
      <c r="B10" s="108" t="s">
        <v>113</v>
      </c>
      <c r="C10" s="107"/>
      <c r="D10" s="106"/>
      <c r="E10" s="106"/>
      <c r="F10" s="157" t="s">
        <v>147</v>
      </c>
      <c r="G10" s="157"/>
      <c r="H10" s="157"/>
      <c r="I10" s="158" t="s">
        <v>148</v>
      </c>
      <c r="J10" s="158"/>
      <c r="K10" s="158"/>
      <c r="L10" s="91"/>
      <c r="M10" s="91"/>
      <c r="N10" s="159" t="s">
        <v>149</v>
      </c>
      <c r="O10" s="159"/>
      <c r="P10" s="159"/>
      <c r="Q10" s="91"/>
      <c r="S10"/>
    </row>
    <row r="11" spans="1:19" s="1" customFormat="1" ht="32.25" thickBot="1" x14ac:dyDescent="0.3">
      <c r="A11" s="103"/>
      <c r="B11" s="104" t="s">
        <v>114</v>
      </c>
      <c r="C11" s="103"/>
      <c r="D11" s="102"/>
      <c r="E11" s="102"/>
      <c r="F11" s="101" t="s">
        <v>121</v>
      </c>
      <c r="G11" s="100" t="s">
        <v>120</v>
      </c>
      <c r="H11" s="100" t="s">
        <v>119</v>
      </c>
      <c r="I11" s="99" t="s">
        <v>112</v>
      </c>
      <c r="J11" s="99" t="s">
        <v>120</v>
      </c>
      <c r="K11" s="99" t="s">
        <v>119</v>
      </c>
      <c r="L11" s="91"/>
      <c r="M11" s="91"/>
      <c r="N11" s="97" t="s">
        <v>150</v>
      </c>
      <c r="O11" s="98" t="s">
        <v>151</v>
      </c>
      <c r="P11" s="97" t="s">
        <v>118</v>
      </c>
      <c r="Q11" s="91"/>
    </row>
    <row r="12" spans="1:19" x14ac:dyDescent="0.25">
      <c r="A12" s="92"/>
      <c r="B12">
        <v>17.579999999999998</v>
      </c>
      <c r="C12">
        <v>0.3</v>
      </c>
      <c r="D12" s="91"/>
      <c r="E12" s="91"/>
      <c r="F12">
        <v>-5</v>
      </c>
      <c r="G12" s="134">
        <f t="shared" ref="G12:G32" ca="1" si="0">F12*$I$5+$I$3</f>
        <v>16.22571560828462</v>
      </c>
      <c r="H12" s="89">
        <f t="shared" ref="H12:H32" ca="1" si="1">_xlfn.NORM.DIST(G12,$I$3,$I$5,FALSE)</f>
        <v>4.1332648587745473E-6</v>
      </c>
      <c r="I12" s="96" t="s">
        <v>117</v>
      </c>
      <c r="J12" s="95">
        <f ca="1">ROUND($I$3,C5)</f>
        <v>18.02</v>
      </c>
      <c r="K12" s="94">
        <v>0</v>
      </c>
      <c r="L12" s="91"/>
      <c r="M12" s="91"/>
      <c r="N12" s="88">
        <f ca="1">G12-(G13-G12)</f>
        <v>16.04586752625594</v>
      </c>
      <c r="O12" s="134">
        <f t="shared" ref="O12:O32" ca="1" si="2">G12</f>
        <v>16.22571560828462</v>
      </c>
      <c r="P12" s="88">
        <f t="shared" ref="P12:P32" ca="1" si="3">COUNTIFS(INDIRECT($C$4),"&gt;="&amp;N12,INDIRECT($C$4),"&lt;"&amp;N13)</f>
        <v>0</v>
      </c>
      <c r="Q12" s="91"/>
    </row>
    <row r="13" spans="1:19" x14ac:dyDescent="0.25">
      <c r="A13" s="92"/>
      <c r="B13">
        <v>18</v>
      </c>
      <c r="C13">
        <v>0.3</v>
      </c>
      <c r="D13" s="91"/>
      <c r="E13" s="91"/>
      <c r="F13">
        <v>-4.5</v>
      </c>
      <c r="G13" s="134">
        <f t="shared" ca="1" si="0"/>
        <v>16.405563690313301</v>
      </c>
      <c r="H13" s="89">
        <f t="shared" ca="1" si="1"/>
        <v>4.4436784998231023E-5</v>
      </c>
      <c r="I13" s="94" t="str">
        <f ca="1">I12&amp;" : "&amp;ROUND(I3,C5)</f>
        <v>mean : 18.02</v>
      </c>
      <c r="J13" s="95">
        <f ca="1">$I$3</f>
        <v>18.024196428571429</v>
      </c>
      <c r="K13" s="133">
        <f ca="1">MAX(H12:H32)*1.15</f>
        <v>1.2754754381769944</v>
      </c>
      <c r="L13" s="91"/>
      <c r="M13" s="91"/>
      <c r="N13" s="88">
        <f t="shared" ref="N13:N32" ca="1" si="4">AVERAGE(G12:G13)</f>
        <v>16.315639649298959</v>
      </c>
      <c r="O13" s="134">
        <f t="shared" ca="1" si="2"/>
        <v>16.405563690313301</v>
      </c>
      <c r="P13" s="88">
        <f t="shared" ca="1" si="3"/>
        <v>0</v>
      </c>
      <c r="Q13" s="91"/>
    </row>
    <row r="14" spans="1:19" x14ac:dyDescent="0.25">
      <c r="A14" s="92"/>
      <c r="B14">
        <v>17.989999999999998</v>
      </c>
      <c r="C14">
        <v>0.3</v>
      </c>
      <c r="D14" s="91"/>
      <c r="E14" s="91"/>
      <c r="F14">
        <v>-4</v>
      </c>
      <c r="G14" s="134">
        <f t="shared" ca="1" si="0"/>
        <v>16.585411772341981</v>
      </c>
      <c r="H14" s="89">
        <f t="shared" ca="1" si="1"/>
        <v>3.7206464549213855E-4</v>
      </c>
      <c r="I14" s="93"/>
      <c r="J14" s="93"/>
      <c r="K14" s="93"/>
      <c r="L14" s="91"/>
      <c r="M14" s="91"/>
      <c r="N14" s="88">
        <f t="shared" ca="1" si="4"/>
        <v>16.495487731327643</v>
      </c>
      <c r="O14" s="134">
        <f t="shared" ca="1" si="2"/>
        <v>16.585411772341981</v>
      </c>
      <c r="P14" s="88">
        <f t="shared" ca="1" si="3"/>
        <v>0</v>
      </c>
      <c r="Q14" s="91"/>
    </row>
    <row r="15" spans="1:19" x14ac:dyDescent="0.25">
      <c r="A15" s="92"/>
      <c r="B15">
        <v>18.170000000000002</v>
      </c>
      <c r="C15">
        <v>0.3</v>
      </c>
      <c r="D15" s="91"/>
      <c r="E15" s="91"/>
      <c r="F15">
        <v>-3.5</v>
      </c>
      <c r="G15" s="134">
        <f t="shared" ca="1" si="0"/>
        <v>16.765259854370662</v>
      </c>
      <c r="H15" s="89">
        <f t="shared" ca="1" si="1"/>
        <v>2.4261662543239772E-3</v>
      </c>
      <c r="I15" s="96" t="s">
        <v>116</v>
      </c>
      <c r="J15" s="95">
        <f ca="1">$I$3-$I$5</f>
        <v>17.664500264514068</v>
      </c>
      <c r="K15" s="133">
        <f ca="1">MAX(H12:H32)*1.05</f>
        <v>1.1645645305094297</v>
      </c>
      <c r="L15" s="91"/>
      <c r="M15" s="91"/>
      <c r="N15" s="88">
        <f t="shared" ca="1" si="4"/>
        <v>16.67533581335632</v>
      </c>
      <c r="O15" s="134">
        <f ca="1">G15</f>
        <v>16.765259854370662</v>
      </c>
      <c r="P15" s="88">
        <f t="shared" ca="1" si="3"/>
        <v>0</v>
      </c>
      <c r="Q15" s="91"/>
    </row>
    <row r="16" spans="1:19" x14ac:dyDescent="0.25">
      <c r="A16" s="92"/>
      <c r="B16">
        <v>18.170000000000002</v>
      </c>
      <c r="C16">
        <v>0.3</v>
      </c>
      <c r="D16" s="91"/>
      <c r="E16" s="91"/>
      <c r="F16">
        <v>-3</v>
      </c>
      <c r="G16" s="134">
        <f t="shared" ca="1" si="0"/>
        <v>16.945107936399342</v>
      </c>
      <c r="H16" s="89">
        <f t="shared" ca="1" si="1"/>
        <v>1.2321088893322736E-2</v>
      </c>
      <c r="I16" s="94" t="str">
        <f ca="1">I15&amp;" ± "&amp;ROUND(I5,C5)</f>
        <v>1σ ± 0.36</v>
      </c>
      <c r="J16" s="95">
        <f ca="1">$I$3+$I$5</f>
        <v>18.38389259262879</v>
      </c>
      <c r="K16" s="133">
        <f ca="1">MAX(H12:H32)*1.05</f>
        <v>1.1645645305094297</v>
      </c>
      <c r="L16" s="91"/>
      <c r="M16" s="91"/>
      <c r="N16" s="88">
        <f t="shared" ca="1" si="4"/>
        <v>16.855183895385004</v>
      </c>
      <c r="O16" s="134">
        <f t="shared" ca="1" si="2"/>
        <v>16.945107936399342</v>
      </c>
      <c r="P16" s="88">
        <f t="shared" ca="1" si="3"/>
        <v>1</v>
      </c>
      <c r="Q16" s="91"/>
    </row>
    <row r="17" spans="1:17" x14ac:dyDescent="0.25">
      <c r="A17" s="92"/>
      <c r="B17">
        <v>18.02</v>
      </c>
      <c r="C17">
        <v>0.3</v>
      </c>
      <c r="D17" s="91"/>
      <c r="E17" s="91"/>
      <c r="F17">
        <v>-2.5</v>
      </c>
      <c r="G17" s="134">
        <f t="shared" ca="1" si="0"/>
        <v>17.124956018428023</v>
      </c>
      <c r="H17" s="89">
        <f t="shared" ca="1" si="1"/>
        <v>4.8730851883016006E-2</v>
      </c>
      <c r="I17" s="93"/>
      <c r="J17" s="93"/>
      <c r="K17" s="93"/>
      <c r="L17" s="91"/>
      <c r="M17" s="91"/>
      <c r="N17" s="88">
        <f t="shared" ca="1" si="4"/>
        <v>17.035031977413681</v>
      </c>
      <c r="O17" s="134">
        <f t="shared" ca="1" si="2"/>
        <v>17.124956018428023</v>
      </c>
      <c r="P17" s="88">
        <f t="shared" ca="1" si="3"/>
        <v>2</v>
      </c>
      <c r="Q17" s="91"/>
    </row>
    <row r="18" spans="1:17" x14ac:dyDescent="0.25">
      <c r="A18" s="92"/>
      <c r="B18">
        <v>18.07</v>
      </c>
      <c r="C18">
        <v>0.3</v>
      </c>
      <c r="D18" s="91"/>
      <c r="E18" s="91"/>
      <c r="F18">
        <v>-2</v>
      </c>
      <c r="G18" s="134">
        <f t="shared" ca="1" si="0"/>
        <v>17.304804100456707</v>
      </c>
      <c r="H18" s="89">
        <f t="shared" ca="1" si="1"/>
        <v>0.15010159103219795</v>
      </c>
      <c r="I18" s="96" t="s">
        <v>115</v>
      </c>
      <c r="J18" s="95">
        <f ca="1">$I$3-$I$6</f>
        <v>17.304804100456707</v>
      </c>
      <c r="K18" s="133">
        <f ca="1">MAX(H12:H32)*1.12</f>
        <v>1.2422021658767251</v>
      </c>
      <c r="L18" s="91"/>
      <c r="M18" s="91"/>
      <c r="N18" s="88">
        <f t="shared" ca="1" si="4"/>
        <v>17.214880059442365</v>
      </c>
      <c r="O18" s="134">
        <f t="shared" ca="1" si="2"/>
        <v>17.304804100456707</v>
      </c>
      <c r="P18" s="88">
        <f t="shared" ca="1" si="3"/>
        <v>5</v>
      </c>
      <c r="Q18" s="91"/>
    </row>
    <row r="19" spans="1:17" x14ac:dyDescent="0.25">
      <c r="A19" s="92"/>
      <c r="B19">
        <v>18.2</v>
      </c>
      <c r="C19">
        <v>0.3</v>
      </c>
      <c r="D19" s="91"/>
      <c r="E19" s="91"/>
      <c r="F19">
        <v>-1.5</v>
      </c>
      <c r="G19" s="134">
        <f t="shared" ca="1" si="0"/>
        <v>17.484652182485387</v>
      </c>
      <c r="H19" s="89">
        <f t="shared" ca="1" si="1"/>
        <v>0.36007499831229173</v>
      </c>
      <c r="I19" s="94" t="str">
        <f ca="1">I18&amp;" ± "&amp;ROUND(I6,C5)</f>
        <v>2σ ± 0.72</v>
      </c>
      <c r="J19" s="95">
        <f ca="1">$I$3+$I$6</f>
        <v>18.743588756686151</v>
      </c>
      <c r="K19" s="133">
        <f ca="1">MAX(H12:H32)*1.12</f>
        <v>1.2422021658767251</v>
      </c>
      <c r="L19" s="91"/>
      <c r="M19" s="91"/>
      <c r="N19" s="88">
        <f t="shared" ca="1" si="4"/>
        <v>17.394728141471049</v>
      </c>
      <c r="O19" s="134">
        <f t="shared" ca="1" si="2"/>
        <v>17.484652182485387</v>
      </c>
      <c r="P19" s="88">
        <f t="shared" ca="1" si="3"/>
        <v>4</v>
      </c>
      <c r="Q19" s="91"/>
    </row>
    <row r="20" spans="1:17" x14ac:dyDescent="0.25">
      <c r="A20" s="92"/>
      <c r="B20">
        <v>17.97</v>
      </c>
      <c r="C20">
        <v>0.3</v>
      </c>
      <c r="D20" s="91"/>
      <c r="E20" s="91"/>
      <c r="F20">
        <v>-1</v>
      </c>
      <c r="G20" s="134">
        <f t="shared" ca="1" si="0"/>
        <v>17.664500264514068</v>
      </c>
      <c r="H20" s="89">
        <f t="shared" ca="1" si="1"/>
        <v>0.67270865996935159</v>
      </c>
      <c r="I20" s="93"/>
      <c r="J20" s="93"/>
      <c r="K20" s="93"/>
      <c r="L20" s="91"/>
      <c r="M20" s="91"/>
      <c r="N20" s="88">
        <f t="shared" ca="1" si="4"/>
        <v>17.574576223499726</v>
      </c>
      <c r="O20" s="134">
        <f t="shared" ca="1" si="2"/>
        <v>17.664500264514068</v>
      </c>
      <c r="P20" s="88">
        <f t="shared" ca="1" si="3"/>
        <v>11</v>
      </c>
      <c r="Q20" s="91"/>
    </row>
    <row r="21" spans="1:17" x14ac:dyDescent="0.25">
      <c r="A21" s="92"/>
      <c r="B21">
        <v>17.989999999999998</v>
      </c>
      <c r="C21">
        <v>0.3</v>
      </c>
      <c r="D21" s="91"/>
      <c r="E21" s="91"/>
      <c r="F21">
        <v>-0.5</v>
      </c>
      <c r="G21" s="134">
        <f t="shared" ca="1" si="0"/>
        <v>17.844348346542748</v>
      </c>
      <c r="H21" s="89">
        <f t="shared" ca="1" si="1"/>
        <v>0.97878532479471991</v>
      </c>
      <c r="L21" s="91"/>
      <c r="M21" s="91"/>
      <c r="N21" s="88">
        <f t="shared" ca="1" si="4"/>
        <v>17.75442430552841</v>
      </c>
      <c r="O21" s="134">
        <f t="shared" ca="1" si="2"/>
        <v>17.844348346542748</v>
      </c>
      <c r="P21" s="88">
        <f t="shared" ca="1" si="3"/>
        <v>15</v>
      </c>
      <c r="Q21" s="91"/>
    </row>
    <row r="22" spans="1:17" x14ac:dyDescent="0.25">
      <c r="A22" s="92"/>
      <c r="B22">
        <v>18.100000000000001</v>
      </c>
      <c r="C22">
        <v>0.3</v>
      </c>
      <c r="D22" s="91"/>
      <c r="E22" s="91"/>
      <c r="F22">
        <v>0</v>
      </c>
      <c r="G22" s="134">
        <f t="shared" ca="1" si="0"/>
        <v>18.024196428571429</v>
      </c>
      <c r="H22" s="89">
        <f t="shared" ca="1" si="1"/>
        <v>1.1091090766756473</v>
      </c>
      <c r="L22" s="91"/>
      <c r="M22" s="91"/>
      <c r="N22" s="88">
        <f t="shared" ca="1" si="4"/>
        <v>17.934272387557087</v>
      </c>
      <c r="O22" s="134">
        <f t="shared" ca="1" si="2"/>
        <v>18.024196428571429</v>
      </c>
      <c r="P22" s="88">
        <f t="shared" ca="1" si="3"/>
        <v>25</v>
      </c>
      <c r="Q22" s="91"/>
    </row>
    <row r="23" spans="1:17" x14ac:dyDescent="0.25">
      <c r="A23" s="92"/>
      <c r="B23">
        <v>18.22</v>
      </c>
      <c r="C23">
        <v>0.3</v>
      </c>
      <c r="D23" s="91"/>
      <c r="E23" s="91"/>
      <c r="F23">
        <v>0.5</v>
      </c>
      <c r="G23" s="134">
        <f t="shared" ca="1" si="0"/>
        <v>18.204044510600109</v>
      </c>
      <c r="H23" s="89">
        <f t="shared" ca="1" si="1"/>
        <v>0.97878532479471991</v>
      </c>
      <c r="L23" s="91"/>
      <c r="M23" s="91"/>
      <c r="N23" s="88">
        <f t="shared" ca="1" si="4"/>
        <v>18.114120469585771</v>
      </c>
      <c r="O23" s="134">
        <f t="shared" ca="1" si="2"/>
        <v>18.204044510600109</v>
      </c>
      <c r="P23" s="88">
        <f t="shared" ca="1" si="3"/>
        <v>25</v>
      </c>
      <c r="Q23" s="91"/>
    </row>
    <row r="24" spans="1:17" x14ac:dyDescent="0.25">
      <c r="A24" s="92"/>
      <c r="B24">
        <v>17.23</v>
      </c>
      <c r="C24">
        <v>0.3</v>
      </c>
      <c r="D24" s="91"/>
      <c r="E24" s="91"/>
      <c r="F24">
        <v>1</v>
      </c>
      <c r="G24" s="134">
        <f t="shared" ca="1" si="0"/>
        <v>18.38389259262879</v>
      </c>
      <c r="H24" s="89">
        <f t="shared" ca="1" si="1"/>
        <v>0.67270865996935159</v>
      </c>
      <c r="L24" s="91"/>
      <c r="M24" s="91"/>
      <c r="N24" s="88">
        <f t="shared" ca="1" si="4"/>
        <v>18.293968551614448</v>
      </c>
      <c r="O24" s="134">
        <f t="shared" ca="1" si="2"/>
        <v>18.38389259262879</v>
      </c>
      <c r="P24" s="88">
        <f t="shared" ca="1" si="3"/>
        <v>18</v>
      </c>
      <c r="Q24" s="91"/>
    </row>
    <row r="25" spans="1:17" x14ac:dyDescent="0.25">
      <c r="A25" s="92"/>
      <c r="B25">
        <v>17.760000000000002</v>
      </c>
      <c r="C25">
        <v>0.3</v>
      </c>
      <c r="D25" s="91"/>
      <c r="E25" s="91"/>
      <c r="F25">
        <v>1.5</v>
      </c>
      <c r="G25" s="134">
        <f t="shared" ca="1" si="0"/>
        <v>18.56374067465747</v>
      </c>
      <c r="H25" s="89">
        <f t="shared" ca="1" si="1"/>
        <v>0.36007499831229173</v>
      </c>
      <c r="L25" s="91"/>
      <c r="M25" s="91"/>
      <c r="N25" s="88">
        <f t="shared" ca="1" si="4"/>
        <v>18.473816633643132</v>
      </c>
      <c r="O25" s="134">
        <f t="shared" ca="1" si="2"/>
        <v>18.56374067465747</v>
      </c>
      <c r="P25" s="88">
        <f t="shared" ca="1" si="3"/>
        <v>4</v>
      </c>
      <c r="Q25" s="91"/>
    </row>
    <row r="26" spans="1:17" x14ac:dyDescent="0.25">
      <c r="A26" s="92"/>
      <c r="B26">
        <v>17.75</v>
      </c>
      <c r="C26">
        <v>0.3</v>
      </c>
      <c r="D26" s="91"/>
      <c r="E26" s="91"/>
      <c r="F26">
        <v>2</v>
      </c>
      <c r="G26" s="134">
        <f t="shared" ca="1" si="0"/>
        <v>18.743588756686151</v>
      </c>
      <c r="H26" s="89">
        <f t="shared" ca="1" si="1"/>
        <v>0.15010159103219795</v>
      </c>
      <c r="L26" s="91"/>
      <c r="M26" s="91"/>
      <c r="N26" s="88">
        <f t="shared" ca="1" si="4"/>
        <v>18.653664715671809</v>
      </c>
      <c r="O26" s="134">
        <f t="shared" ca="1" si="2"/>
        <v>18.743588756686151</v>
      </c>
      <c r="P26" s="88">
        <f t="shared" ca="1" si="3"/>
        <v>1</v>
      </c>
      <c r="Q26" s="91"/>
    </row>
    <row r="27" spans="1:17" x14ac:dyDescent="0.25">
      <c r="A27" s="92"/>
      <c r="B27">
        <v>17.39</v>
      </c>
      <c r="C27">
        <v>0.3</v>
      </c>
      <c r="D27" s="91"/>
      <c r="E27" s="91"/>
      <c r="F27">
        <v>2.5</v>
      </c>
      <c r="G27" s="134">
        <f t="shared" ca="1" si="0"/>
        <v>18.923436838714835</v>
      </c>
      <c r="H27" s="89">
        <f t="shared" ca="1" si="1"/>
        <v>4.8730851883016006E-2</v>
      </c>
      <c r="L27" s="91"/>
      <c r="M27" s="91"/>
      <c r="N27" s="88">
        <f t="shared" ca="1" si="4"/>
        <v>18.833512797700493</v>
      </c>
      <c r="O27" s="134">
        <f t="shared" ca="1" si="2"/>
        <v>18.923436838714835</v>
      </c>
      <c r="P27" s="88">
        <f t="shared" ca="1" si="3"/>
        <v>1</v>
      </c>
      <c r="Q27" s="91"/>
    </row>
    <row r="28" spans="1:17" x14ac:dyDescent="0.25">
      <c r="A28" s="92"/>
      <c r="B28">
        <v>17.809999999999999</v>
      </c>
      <c r="C28">
        <v>0.3</v>
      </c>
      <c r="D28" s="91"/>
      <c r="E28" s="91"/>
      <c r="F28">
        <v>3</v>
      </c>
      <c r="G28" s="134">
        <f t="shared" ca="1" si="0"/>
        <v>19.103284920743516</v>
      </c>
      <c r="H28" s="89">
        <f t="shared" ca="1" si="1"/>
        <v>1.2321088893322736E-2</v>
      </c>
      <c r="L28" s="91"/>
      <c r="M28" s="91"/>
      <c r="N28" s="88">
        <f t="shared" ca="1" si="4"/>
        <v>19.013360879729177</v>
      </c>
      <c r="O28" s="134">
        <f t="shared" ca="1" si="2"/>
        <v>19.103284920743516</v>
      </c>
      <c r="P28" s="88">
        <f t="shared" ca="1" si="3"/>
        <v>0</v>
      </c>
      <c r="Q28" s="91"/>
    </row>
    <row r="29" spans="1:17" x14ac:dyDescent="0.25">
      <c r="A29" s="92"/>
      <c r="B29">
        <v>17.739999999999998</v>
      </c>
      <c r="C29">
        <v>0.3</v>
      </c>
      <c r="D29" s="91"/>
      <c r="E29" s="91"/>
      <c r="F29">
        <v>3.5</v>
      </c>
      <c r="G29" s="134">
        <f t="shared" ca="1" si="0"/>
        <v>19.283133002772196</v>
      </c>
      <c r="H29" s="89">
        <f t="shared" ca="1" si="1"/>
        <v>2.4261662543239772E-3</v>
      </c>
      <c r="L29" s="91"/>
      <c r="M29" s="91"/>
      <c r="N29" s="88">
        <f t="shared" ca="1" si="4"/>
        <v>19.193208961757854</v>
      </c>
      <c r="O29" s="134">
        <f t="shared" ca="1" si="2"/>
        <v>19.283133002772196</v>
      </c>
      <c r="P29" s="88">
        <f t="shared" ca="1" si="3"/>
        <v>0</v>
      </c>
      <c r="Q29" s="91"/>
    </row>
    <row r="30" spans="1:17" x14ac:dyDescent="0.25">
      <c r="A30" s="92"/>
      <c r="B30">
        <v>17.7</v>
      </c>
      <c r="C30">
        <v>0.3</v>
      </c>
      <c r="D30" s="91"/>
      <c r="E30" s="91"/>
      <c r="F30">
        <v>4</v>
      </c>
      <c r="G30" s="134">
        <f t="shared" ca="1" si="0"/>
        <v>19.462981084800877</v>
      </c>
      <c r="H30" s="89">
        <f t="shared" ca="1" si="1"/>
        <v>3.7206464549213855E-4</v>
      </c>
      <c r="L30" s="91"/>
      <c r="M30" s="91"/>
      <c r="N30" s="88">
        <f t="shared" ca="1" si="4"/>
        <v>19.373057043786538</v>
      </c>
      <c r="O30" s="134">
        <f t="shared" ca="1" si="2"/>
        <v>19.462981084800877</v>
      </c>
      <c r="P30" s="88">
        <f t="shared" ca="1" si="3"/>
        <v>0</v>
      </c>
      <c r="Q30" s="91"/>
    </row>
    <row r="31" spans="1:17" x14ac:dyDescent="0.25">
      <c r="A31" s="92"/>
      <c r="B31">
        <v>18.02</v>
      </c>
      <c r="C31">
        <v>0.3</v>
      </c>
      <c r="D31" s="91"/>
      <c r="E31" s="91"/>
      <c r="F31">
        <v>4.5</v>
      </c>
      <c r="G31" s="134">
        <f t="shared" ca="1" si="0"/>
        <v>19.642829166829557</v>
      </c>
      <c r="H31" s="89">
        <f t="shared" ca="1" si="1"/>
        <v>4.4436784998231023E-5</v>
      </c>
      <c r="L31" s="91"/>
      <c r="M31" s="91"/>
      <c r="N31" s="88">
        <f t="shared" ca="1" si="4"/>
        <v>19.552905125815215</v>
      </c>
      <c r="O31" s="134">
        <f t="shared" ca="1" si="2"/>
        <v>19.642829166829557</v>
      </c>
      <c r="P31" s="88">
        <f t="shared" ca="1" si="3"/>
        <v>0</v>
      </c>
      <c r="Q31" s="91"/>
    </row>
    <row r="32" spans="1:17" x14ac:dyDescent="0.25">
      <c r="A32" s="92"/>
      <c r="B32">
        <v>17.86</v>
      </c>
      <c r="C32">
        <v>0.3</v>
      </c>
      <c r="D32" s="91"/>
      <c r="E32" s="91"/>
      <c r="F32">
        <v>5</v>
      </c>
      <c r="G32" s="134">
        <f t="shared" ca="1" si="0"/>
        <v>19.822677248858238</v>
      </c>
      <c r="H32" s="89">
        <f t="shared" ca="1" si="1"/>
        <v>4.1332648587745473E-6</v>
      </c>
      <c r="L32" s="91"/>
      <c r="M32" s="91"/>
      <c r="N32" s="88">
        <f t="shared" ca="1" si="4"/>
        <v>19.732753207843899</v>
      </c>
      <c r="O32" s="134">
        <f t="shared" ca="1" si="2"/>
        <v>19.822677248858238</v>
      </c>
      <c r="P32" s="88">
        <f t="shared" ca="1" si="3"/>
        <v>0</v>
      </c>
      <c r="Q32" s="91"/>
    </row>
    <row r="33" spans="1:17" x14ac:dyDescent="0.25">
      <c r="A33" s="92"/>
      <c r="B33">
        <v>18.32</v>
      </c>
      <c r="C33">
        <v>0.31</v>
      </c>
      <c r="D33" s="91"/>
      <c r="E33" s="91"/>
      <c r="G33" s="89"/>
      <c r="L33" s="91"/>
      <c r="M33" s="91"/>
      <c r="N33" s="88"/>
      <c r="Q33" s="91"/>
    </row>
    <row r="34" spans="1:17" x14ac:dyDescent="0.25">
      <c r="A34" s="92"/>
      <c r="B34">
        <v>17.68</v>
      </c>
      <c r="C34">
        <v>0.3</v>
      </c>
      <c r="D34" s="91"/>
      <c r="E34" s="91"/>
      <c r="G34" s="89"/>
      <c r="L34" s="91"/>
      <c r="M34" s="91"/>
      <c r="Q34" s="91"/>
    </row>
    <row r="35" spans="1:17" x14ac:dyDescent="0.25">
      <c r="A35" s="92"/>
      <c r="B35">
        <v>18.2</v>
      </c>
      <c r="C35">
        <v>0.31</v>
      </c>
      <c r="D35" s="91"/>
      <c r="E35" s="91"/>
      <c r="L35" s="91"/>
      <c r="M35" s="91"/>
      <c r="Q35" s="91"/>
    </row>
    <row r="36" spans="1:17" x14ac:dyDescent="0.25">
      <c r="A36" s="92"/>
      <c r="B36">
        <v>18.28</v>
      </c>
      <c r="C36">
        <v>0.32</v>
      </c>
      <c r="D36" s="91"/>
      <c r="E36" s="91"/>
      <c r="L36" s="91"/>
      <c r="M36" s="91"/>
      <c r="Q36" s="91"/>
    </row>
    <row r="37" spans="1:17" x14ac:dyDescent="0.25">
      <c r="A37" s="92"/>
      <c r="B37">
        <v>18.21</v>
      </c>
      <c r="C37">
        <v>0.34</v>
      </c>
      <c r="D37" s="91"/>
      <c r="E37" s="91"/>
      <c r="L37" s="91"/>
      <c r="M37" s="91"/>
      <c r="Q37" s="91"/>
    </row>
    <row r="38" spans="1:17" x14ac:dyDescent="0.25">
      <c r="A38" s="92"/>
      <c r="B38">
        <v>17.989999999999998</v>
      </c>
      <c r="C38">
        <v>0.3</v>
      </c>
      <c r="D38" s="91"/>
      <c r="E38" s="91"/>
      <c r="L38" s="91"/>
      <c r="M38" s="91"/>
      <c r="Q38" s="91"/>
    </row>
    <row r="39" spans="1:17" x14ac:dyDescent="0.25">
      <c r="A39" s="92"/>
      <c r="B39">
        <v>18.3</v>
      </c>
      <c r="C39">
        <v>0.31</v>
      </c>
      <c r="D39" s="91"/>
      <c r="E39" s="91"/>
      <c r="L39" s="91"/>
      <c r="M39" s="91"/>
      <c r="Q39" s="91"/>
    </row>
    <row r="40" spans="1:17" x14ac:dyDescent="0.25">
      <c r="A40" s="92"/>
      <c r="B40">
        <v>17.89</v>
      </c>
      <c r="C40">
        <v>0.31</v>
      </c>
      <c r="D40" s="91"/>
      <c r="E40" s="91"/>
      <c r="L40" s="91"/>
      <c r="M40" s="91"/>
      <c r="Q40" s="91"/>
    </row>
    <row r="41" spans="1:17" x14ac:dyDescent="0.25">
      <c r="A41" s="92"/>
      <c r="B41">
        <v>18.100000000000001</v>
      </c>
      <c r="C41">
        <v>0.31</v>
      </c>
      <c r="D41" s="91"/>
      <c r="E41" s="91"/>
      <c r="L41" s="91"/>
      <c r="M41" s="91"/>
      <c r="Q41" s="91"/>
    </row>
    <row r="42" spans="1:17" x14ac:dyDescent="0.25">
      <c r="A42" s="92"/>
      <c r="B42">
        <v>18.25</v>
      </c>
      <c r="C42">
        <v>0.31</v>
      </c>
      <c r="D42" s="91"/>
      <c r="E42" s="91"/>
      <c r="L42" s="91"/>
      <c r="M42" s="91"/>
      <c r="Q42" s="91"/>
    </row>
    <row r="43" spans="1:17" x14ac:dyDescent="0.25">
      <c r="A43" s="92"/>
      <c r="B43">
        <v>18.38</v>
      </c>
      <c r="C43">
        <v>0.34</v>
      </c>
      <c r="D43" s="91"/>
      <c r="E43" s="91"/>
      <c r="L43" s="91"/>
      <c r="M43" s="91"/>
      <c r="Q43" s="91"/>
    </row>
    <row r="44" spans="1:17" x14ac:dyDescent="0.25">
      <c r="A44" s="92"/>
      <c r="B44">
        <v>18.41</v>
      </c>
      <c r="C44">
        <v>0.34</v>
      </c>
      <c r="D44" s="91"/>
      <c r="E44" s="91"/>
      <c r="L44" s="91"/>
      <c r="M44" s="91"/>
      <c r="Q44" s="91"/>
    </row>
    <row r="45" spans="1:17" x14ac:dyDescent="0.25">
      <c r="A45" s="92"/>
      <c r="B45">
        <v>18.41</v>
      </c>
      <c r="C45">
        <v>0.35</v>
      </c>
      <c r="D45" s="91"/>
      <c r="E45" s="91"/>
      <c r="L45" s="91"/>
      <c r="M45" s="91"/>
      <c r="Q45" s="91"/>
    </row>
    <row r="46" spans="1:17" x14ac:dyDescent="0.25">
      <c r="A46" s="92"/>
      <c r="B46">
        <v>17.510000000000002</v>
      </c>
      <c r="C46">
        <v>0.33</v>
      </c>
      <c r="D46" s="91"/>
      <c r="E46" s="91"/>
      <c r="L46" s="91"/>
      <c r="M46" s="91"/>
      <c r="Q46" s="91"/>
    </row>
    <row r="47" spans="1:17" x14ac:dyDescent="0.25">
      <c r="A47" s="92"/>
      <c r="B47">
        <v>18.25</v>
      </c>
      <c r="C47">
        <v>0.34</v>
      </c>
      <c r="D47" s="91"/>
      <c r="E47" s="91"/>
      <c r="L47" s="91"/>
      <c r="M47" s="91"/>
      <c r="Q47" s="91"/>
    </row>
    <row r="48" spans="1:17" x14ac:dyDescent="0.25">
      <c r="A48" s="92"/>
      <c r="B48">
        <v>18.329999999999998</v>
      </c>
      <c r="C48">
        <v>0.34</v>
      </c>
      <c r="D48" s="91"/>
      <c r="E48" s="91"/>
      <c r="L48" s="91"/>
      <c r="M48" s="91"/>
      <c r="Q48" s="91"/>
    </row>
    <row r="49" spans="1:17" x14ac:dyDescent="0.25">
      <c r="A49" s="92"/>
      <c r="B49">
        <v>18.05</v>
      </c>
      <c r="C49">
        <v>0.34</v>
      </c>
      <c r="D49" s="91"/>
      <c r="E49" s="91"/>
      <c r="L49" s="91"/>
      <c r="M49" s="91"/>
      <c r="Q49" s="91"/>
    </row>
    <row r="50" spans="1:17" x14ac:dyDescent="0.25">
      <c r="A50" s="92"/>
      <c r="B50">
        <v>17.89</v>
      </c>
      <c r="C50">
        <v>0.34</v>
      </c>
      <c r="D50" s="91"/>
      <c r="E50" s="91"/>
      <c r="L50" s="91"/>
      <c r="M50" s="91"/>
      <c r="Q50" s="91"/>
    </row>
    <row r="51" spans="1:17" x14ac:dyDescent="0.25">
      <c r="A51" s="92"/>
      <c r="B51">
        <v>17.440000000000001</v>
      </c>
      <c r="C51">
        <v>0.33</v>
      </c>
      <c r="D51" s="91"/>
      <c r="E51" s="91"/>
      <c r="L51" s="91"/>
      <c r="M51" s="91"/>
      <c r="Q51" s="91"/>
    </row>
    <row r="52" spans="1:17" x14ac:dyDescent="0.25">
      <c r="A52" s="92"/>
      <c r="B52">
        <v>18.170000000000002</v>
      </c>
      <c r="C52">
        <v>0.35</v>
      </c>
      <c r="D52" s="91"/>
      <c r="E52" s="91"/>
      <c r="L52" s="91"/>
      <c r="M52" s="91"/>
      <c r="Q52" s="91"/>
    </row>
    <row r="53" spans="1:17" x14ac:dyDescent="0.25">
      <c r="A53" s="92"/>
      <c r="B53">
        <v>17.64</v>
      </c>
      <c r="C53">
        <v>0.34</v>
      </c>
      <c r="D53" s="91"/>
      <c r="E53" s="91"/>
      <c r="L53" s="91"/>
      <c r="M53" s="91"/>
      <c r="Q53" s="91"/>
    </row>
    <row r="54" spans="1:17" x14ac:dyDescent="0.25">
      <c r="A54" s="92"/>
      <c r="B54">
        <v>17.77</v>
      </c>
      <c r="C54">
        <v>0.34</v>
      </c>
      <c r="D54" s="91"/>
      <c r="E54" s="91"/>
      <c r="L54" s="91"/>
      <c r="M54" s="91"/>
      <c r="Q54" s="91"/>
    </row>
    <row r="55" spans="1:17" x14ac:dyDescent="0.25">
      <c r="A55" s="92"/>
      <c r="B55">
        <v>17.84</v>
      </c>
      <c r="C55">
        <v>0.34</v>
      </c>
      <c r="D55" s="91"/>
      <c r="E55" s="91"/>
      <c r="L55" s="91"/>
      <c r="M55" s="91"/>
      <c r="Q55" s="91"/>
    </row>
    <row r="56" spans="1:17" x14ac:dyDescent="0.25">
      <c r="A56" s="92"/>
      <c r="B56">
        <v>17.809999999999999</v>
      </c>
      <c r="C56">
        <v>0.34</v>
      </c>
      <c r="D56" s="91"/>
      <c r="E56" s="91"/>
      <c r="L56" s="91"/>
      <c r="M56" s="91"/>
      <c r="Q56" s="91"/>
    </row>
    <row r="57" spans="1:17" x14ac:dyDescent="0.25">
      <c r="A57" s="92"/>
      <c r="B57">
        <v>18.04</v>
      </c>
      <c r="C57">
        <v>0.35</v>
      </c>
      <c r="D57" s="91"/>
      <c r="E57" s="91"/>
      <c r="L57" s="91"/>
      <c r="M57" s="91"/>
      <c r="Q57" s="91"/>
    </row>
    <row r="58" spans="1:17" x14ac:dyDescent="0.25">
      <c r="A58" s="92"/>
      <c r="B58">
        <v>17.23</v>
      </c>
      <c r="C58">
        <v>0.33</v>
      </c>
      <c r="D58" s="91"/>
      <c r="E58" s="91"/>
      <c r="L58" s="91"/>
      <c r="M58" s="91"/>
      <c r="Q58" s="91"/>
    </row>
    <row r="59" spans="1:17" x14ac:dyDescent="0.25">
      <c r="A59" s="92"/>
      <c r="B59">
        <v>18.12</v>
      </c>
      <c r="C59">
        <v>0.35</v>
      </c>
      <c r="D59" s="91"/>
      <c r="E59" s="91"/>
      <c r="L59" s="91"/>
      <c r="M59" s="91"/>
      <c r="Q59" s="91"/>
    </row>
    <row r="60" spans="1:17" x14ac:dyDescent="0.25">
      <c r="A60" s="92"/>
      <c r="B60">
        <v>18.5</v>
      </c>
      <c r="C60">
        <v>0.35</v>
      </c>
      <c r="D60" s="91"/>
      <c r="E60" s="91"/>
      <c r="L60" s="91"/>
      <c r="M60" s="91"/>
      <c r="Q60" s="91"/>
    </row>
    <row r="61" spans="1:17" x14ac:dyDescent="0.25">
      <c r="A61" s="92"/>
      <c r="B61">
        <v>18.07</v>
      </c>
      <c r="C61">
        <v>0.35</v>
      </c>
      <c r="D61" s="91"/>
      <c r="E61" s="91"/>
      <c r="L61" s="91"/>
      <c r="M61" s="91"/>
      <c r="Q61" s="91"/>
    </row>
    <row r="62" spans="1:17" x14ac:dyDescent="0.25">
      <c r="B62">
        <v>18.18</v>
      </c>
      <c r="C62">
        <v>0.35</v>
      </c>
      <c r="D62" s="91"/>
      <c r="E62" s="91"/>
      <c r="L62" s="91"/>
      <c r="M62" s="91"/>
      <c r="Q62" s="91"/>
    </row>
    <row r="63" spans="1:17" x14ac:dyDescent="0.25">
      <c r="B63">
        <v>17.239999999999998</v>
      </c>
      <c r="C63">
        <v>0.31</v>
      </c>
      <c r="D63" s="91"/>
      <c r="E63" s="91"/>
      <c r="L63" s="91"/>
      <c r="M63" s="91"/>
    </row>
    <row r="64" spans="1:17" x14ac:dyDescent="0.25">
      <c r="B64">
        <v>17.739999999999998</v>
      </c>
      <c r="C64">
        <v>0.31</v>
      </c>
      <c r="D64" s="91"/>
      <c r="E64" s="91"/>
      <c r="L64" s="91"/>
      <c r="M64" s="91"/>
    </row>
    <row r="65" spans="2:13" x14ac:dyDescent="0.25">
      <c r="B65">
        <v>17.100000000000001</v>
      </c>
      <c r="C65">
        <v>0.3</v>
      </c>
      <c r="D65" s="91"/>
      <c r="E65" s="91"/>
      <c r="L65" s="91"/>
      <c r="M65" s="91"/>
    </row>
    <row r="66" spans="2:13" x14ac:dyDescent="0.25">
      <c r="B66">
        <v>18</v>
      </c>
      <c r="C66">
        <v>0.32</v>
      </c>
      <c r="D66" s="91"/>
      <c r="E66" s="91"/>
      <c r="L66" s="91"/>
      <c r="M66" s="91"/>
    </row>
    <row r="67" spans="2:13" x14ac:dyDescent="0.25">
      <c r="B67">
        <v>17.39</v>
      </c>
      <c r="C67">
        <v>0.3</v>
      </c>
      <c r="D67" s="91"/>
      <c r="E67" s="91"/>
      <c r="L67" s="91"/>
      <c r="M67" s="91"/>
    </row>
    <row r="68" spans="2:13" x14ac:dyDescent="0.25">
      <c r="B68">
        <v>17.93</v>
      </c>
      <c r="C68">
        <v>0.32</v>
      </c>
      <c r="D68" s="91"/>
      <c r="E68" s="91"/>
      <c r="L68" s="91"/>
      <c r="M68" s="91"/>
    </row>
    <row r="69" spans="2:13" x14ac:dyDescent="0.25">
      <c r="B69">
        <v>18.29</v>
      </c>
      <c r="C69">
        <v>0.33</v>
      </c>
      <c r="D69" s="91"/>
      <c r="E69" s="91"/>
      <c r="L69" s="91"/>
      <c r="M69" s="91"/>
    </row>
    <row r="70" spans="2:13" x14ac:dyDescent="0.25">
      <c r="B70">
        <v>18.09</v>
      </c>
      <c r="C70">
        <v>0.31</v>
      </c>
      <c r="D70" s="91"/>
      <c r="E70" s="91"/>
      <c r="L70" s="91"/>
      <c r="M70" s="91"/>
    </row>
    <row r="71" spans="2:13" x14ac:dyDescent="0.25">
      <c r="B71">
        <v>17.05</v>
      </c>
      <c r="C71">
        <v>0.3</v>
      </c>
      <c r="D71" s="91"/>
      <c r="E71" s="91"/>
      <c r="L71" s="91"/>
      <c r="M71" s="91"/>
    </row>
    <row r="72" spans="2:13" x14ac:dyDescent="0.25">
      <c r="B72">
        <v>18.07</v>
      </c>
      <c r="C72">
        <v>0.32</v>
      </c>
      <c r="D72" s="91"/>
      <c r="E72" s="91"/>
      <c r="L72" s="91"/>
      <c r="M72" s="91"/>
    </row>
    <row r="73" spans="2:13" x14ac:dyDescent="0.25">
      <c r="B73">
        <v>17.96</v>
      </c>
      <c r="C73">
        <v>0.31</v>
      </c>
      <c r="D73" s="91"/>
      <c r="E73" s="91"/>
      <c r="L73" s="91"/>
      <c r="M73" s="91"/>
    </row>
    <row r="74" spans="2:13" x14ac:dyDescent="0.25">
      <c r="B74">
        <v>16.97</v>
      </c>
      <c r="C74">
        <v>0.32</v>
      </c>
      <c r="D74" s="91"/>
      <c r="E74" s="91"/>
      <c r="L74" s="91"/>
      <c r="M74" s="91"/>
    </row>
    <row r="75" spans="2:13" x14ac:dyDescent="0.25">
      <c r="B75">
        <v>17.399999999999999</v>
      </c>
      <c r="C75">
        <v>0.3</v>
      </c>
      <c r="D75" s="91"/>
      <c r="E75" s="91"/>
      <c r="L75" s="91"/>
      <c r="M75" s="91"/>
    </row>
    <row r="76" spans="2:13" x14ac:dyDescent="0.25">
      <c r="B76">
        <v>17.760000000000002</v>
      </c>
      <c r="C76">
        <v>0.3</v>
      </c>
      <c r="D76" s="91"/>
      <c r="E76" s="91"/>
      <c r="L76" s="91"/>
      <c r="M76" s="91"/>
    </row>
    <row r="77" spans="2:13" x14ac:dyDescent="0.25">
      <c r="B77">
        <v>18.309999999999999</v>
      </c>
      <c r="C77">
        <v>0.31</v>
      </c>
      <c r="D77" s="91"/>
      <c r="E77" s="91"/>
      <c r="L77" s="91"/>
      <c r="M77" s="91"/>
    </row>
    <row r="78" spans="2:13" x14ac:dyDescent="0.25">
      <c r="B78">
        <v>18.18</v>
      </c>
      <c r="C78">
        <v>0.31</v>
      </c>
      <c r="D78" s="91"/>
      <c r="E78" s="91"/>
      <c r="L78" s="91"/>
      <c r="M78" s="91"/>
    </row>
    <row r="79" spans="2:13" x14ac:dyDescent="0.25">
      <c r="B79">
        <v>17.55</v>
      </c>
      <c r="C79">
        <v>0.3</v>
      </c>
      <c r="D79" s="91"/>
      <c r="E79" s="91"/>
      <c r="L79" s="91"/>
      <c r="M79" s="91"/>
    </row>
    <row r="80" spans="2:13" x14ac:dyDescent="0.25">
      <c r="B80">
        <v>17.79</v>
      </c>
      <c r="C80">
        <v>0.31</v>
      </c>
      <c r="D80" s="91"/>
      <c r="E80" s="91"/>
      <c r="L80" s="91"/>
      <c r="M80" s="91"/>
    </row>
    <row r="81" spans="2:13" x14ac:dyDescent="0.25">
      <c r="B81">
        <v>18.39</v>
      </c>
      <c r="C81">
        <v>0.32</v>
      </c>
      <c r="D81" s="91"/>
      <c r="E81" s="91"/>
      <c r="L81" s="91"/>
      <c r="M81" s="91"/>
    </row>
    <row r="82" spans="2:13" x14ac:dyDescent="0.25">
      <c r="B82">
        <v>17.88</v>
      </c>
      <c r="C82">
        <v>0.31</v>
      </c>
      <c r="D82" s="91"/>
      <c r="E82" s="91"/>
      <c r="L82" s="91"/>
      <c r="M82" s="91"/>
    </row>
    <row r="83" spans="2:13" x14ac:dyDescent="0.25">
      <c r="B83">
        <v>18.43</v>
      </c>
      <c r="C83">
        <v>0.31</v>
      </c>
      <c r="D83" s="91"/>
      <c r="E83" s="91"/>
      <c r="L83" s="91"/>
      <c r="M83" s="91"/>
    </row>
    <row r="84" spans="2:13" x14ac:dyDescent="0.25">
      <c r="B84">
        <v>18.27</v>
      </c>
      <c r="C84">
        <v>0.31</v>
      </c>
      <c r="D84" s="91"/>
      <c r="E84" s="91"/>
      <c r="L84" s="91"/>
      <c r="M84" s="91"/>
    </row>
    <row r="85" spans="2:13" x14ac:dyDescent="0.25">
      <c r="B85">
        <v>18.03</v>
      </c>
      <c r="C85">
        <v>0.31</v>
      </c>
      <c r="D85" s="91"/>
      <c r="E85" s="91"/>
      <c r="L85" s="91"/>
      <c r="M85" s="91"/>
    </row>
    <row r="86" spans="2:13" x14ac:dyDescent="0.25">
      <c r="B86">
        <v>18.010000000000002</v>
      </c>
      <c r="C86">
        <v>0.3</v>
      </c>
      <c r="D86" s="91"/>
      <c r="E86" s="91"/>
      <c r="L86" s="91"/>
      <c r="M86" s="91"/>
    </row>
    <row r="87" spans="2:13" x14ac:dyDescent="0.25">
      <c r="B87">
        <v>18.23</v>
      </c>
      <c r="C87">
        <v>0.31</v>
      </c>
      <c r="D87" s="91"/>
      <c r="E87" s="91"/>
      <c r="L87" s="91"/>
      <c r="M87" s="91"/>
    </row>
    <row r="88" spans="2:13" x14ac:dyDescent="0.25">
      <c r="B88">
        <v>18.45</v>
      </c>
      <c r="C88">
        <v>0.32</v>
      </c>
      <c r="D88" s="91"/>
      <c r="E88" s="91"/>
      <c r="L88" s="91"/>
      <c r="M88" s="91"/>
    </row>
    <row r="89" spans="2:13" x14ac:dyDescent="0.25">
      <c r="B89">
        <v>18.22</v>
      </c>
      <c r="C89">
        <v>0.31</v>
      </c>
      <c r="D89" s="91"/>
      <c r="E89" s="91"/>
      <c r="L89" s="91"/>
      <c r="M89" s="91"/>
    </row>
    <row r="90" spans="2:13" x14ac:dyDescent="0.25">
      <c r="B90">
        <v>18.57</v>
      </c>
      <c r="C90">
        <v>0.32</v>
      </c>
      <c r="D90" s="91"/>
      <c r="E90" s="91"/>
      <c r="L90" s="91"/>
      <c r="M90" s="91"/>
    </row>
    <row r="91" spans="2:13" x14ac:dyDescent="0.25">
      <c r="B91">
        <v>18.39</v>
      </c>
      <c r="C91">
        <v>0.31</v>
      </c>
      <c r="D91" s="91"/>
      <c r="E91" s="91"/>
      <c r="L91" s="91"/>
      <c r="M91" s="91"/>
    </row>
    <row r="92" spans="2:13" x14ac:dyDescent="0.25">
      <c r="B92">
        <v>18.350000000000001</v>
      </c>
      <c r="C92">
        <v>0.31</v>
      </c>
      <c r="D92" s="91"/>
      <c r="E92" s="91"/>
      <c r="L92" s="91"/>
      <c r="M92" s="91"/>
    </row>
    <row r="93" spans="2:13" x14ac:dyDescent="0.25">
      <c r="B93">
        <v>18.21</v>
      </c>
      <c r="C93">
        <v>0.31</v>
      </c>
      <c r="D93" s="91"/>
      <c r="E93" s="91"/>
      <c r="L93" s="91"/>
      <c r="M93" s="91"/>
    </row>
    <row r="94" spans="2:13" x14ac:dyDescent="0.25">
      <c r="B94">
        <v>18.309999999999999</v>
      </c>
      <c r="C94">
        <v>0.31</v>
      </c>
      <c r="D94" s="91"/>
      <c r="E94" s="91"/>
      <c r="L94" s="91"/>
      <c r="M94" s="91"/>
    </row>
    <row r="95" spans="2:13" x14ac:dyDescent="0.25">
      <c r="B95">
        <v>18.38</v>
      </c>
      <c r="C95">
        <v>0.31</v>
      </c>
      <c r="D95" s="91"/>
      <c r="E95" s="91"/>
      <c r="L95" s="91"/>
      <c r="M95" s="91"/>
    </row>
    <row r="96" spans="2:13" x14ac:dyDescent="0.25">
      <c r="B96">
        <v>18.22</v>
      </c>
      <c r="C96">
        <v>0.32</v>
      </c>
      <c r="D96" s="91"/>
      <c r="E96" s="91"/>
      <c r="L96" s="91"/>
      <c r="M96" s="91"/>
    </row>
    <row r="97" spans="2:13" x14ac:dyDescent="0.25">
      <c r="B97">
        <v>18.12</v>
      </c>
      <c r="C97">
        <v>0.32</v>
      </c>
      <c r="D97" s="91"/>
      <c r="E97" s="91"/>
      <c r="L97" s="91"/>
      <c r="M97" s="91"/>
    </row>
    <row r="98" spans="2:13" x14ac:dyDescent="0.25">
      <c r="B98">
        <v>18.440000000000001</v>
      </c>
      <c r="C98">
        <v>0.32</v>
      </c>
      <c r="L98" s="91"/>
      <c r="M98" s="91"/>
    </row>
    <row r="99" spans="2:13" x14ac:dyDescent="0.25">
      <c r="B99">
        <v>18.61</v>
      </c>
      <c r="C99">
        <v>0.32</v>
      </c>
      <c r="L99" s="91"/>
      <c r="M99" s="91"/>
    </row>
    <row r="100" spans="2:13" x14ac:dyDescent="0.25">
      <c r="B100">
        <v>18.09</v>
      </c>
      <c r="C100">
        <v>0.31</v>
      </c>
      <c r="L100" s="91"/>
      <c r="M100" s="91"/>
    </row>
    <row r="101" spans="2:13" x14ac:dyDescent="0.25">
      <c r="B101">
        <v>18.55</v>
      </c>
      <c r="C101">
        <v>0.32</v>
      </c>
      <c r="L101" s="91"/>
      <c r="M101" s="91"/>
    </row>
    <row r="102" spans="2:13" x14ac:dyDescent="0.25">
      <c r="B102">
        <v>18.88</v>
      </c>
      <c r="C102">
        <v>0.33</v>
      </c>
      <c r="L102" s="91"/>
      <c r="M102" s="91"/>
    </row>
    <row r="103" spans="2:13" x14ac:dyDescent="0.25">
      <c r="B103">
        <v>18.09</v>
      </c>
      <c r="C103">
        <v>0.31</v>
      </c>
      <c r="L103" s="91"/>
      <c r="M103" s="91"/>
    </row>
    <row r="104" spans="2:13" x14ac:dyDescent="0.25">
      <c r="B104">
        <v>18.29</v>
      </c>
      <c r="C104">
        <v>0.31</v>
      </c>
      <c r="L104" s="91"/>
      <c r="M104" s="91"/>
    </row>
    <row r="105" spans="2:13" x14ac:dyDescent="0.25">
      <c r="B105">
        <v>18.47</v>
      </c>
      <c r="C105">
        <v>0.32</v>
      </c>
      <c r="L105" s="91"/>
      <c r="M105" s="91"/>
    </row>
    <row r="106" spans="2:13" x14ac:dyDescent="0.25">
      <c r="B106">
        <v>18.75</v>
      </c>
      <c r="C106">
        <v>0.32</v>
      </c>
      <c r="L106" s="91"/>
      <c r="M106" s="91"/>
    </row>
    <row r="107" spans="2:13" x14ac:dyDescent="0.25">
      <c r="B107">
        <v>18.27</v>
      </c>
      <c r="C107">
        <v>0.33</v>
      </c>
      <c r="L107" s="91"/>
      <c r="M107" s="91"/>
    </row>
    <row r="108" spans="2:13" x14ac:dyDescent="0.25">
      <c r="B108">
        <v>18.45</v>
      </c>
      <c r="C108">
        <v>0.34</v>
      </c>
      <c r="L108" s="91"/>
      <c r="M108" s="91"/>
    </row>
    <row r="109" spans="2:13" x14ac:dyDescent="0.25">
      <c r="B109">
        <v>18.27</v>
      </c>
      <c r="C109">
        <v>0.35</v>
      </c>
      <c r="L109" s="91"/>
      <c r="M109" s="91"/>
    </row>
    <row r="110" spans="2:13" x14ac:dyDescent="0.25">
      <c r="B110">
        <v>17.899999999999999</v>
      </c>
      <c r="C110">
        <v>0.33</v>
      </c>
      <c r="L110" s="91"/>
      <c r="M110" s="91"/>
    </row>
    <row r="111" spans="2:13" x14ac:dyDescent="0.25">
      <c r="B111">
        <v>18.329999999999998</v>
      </c>
      <c r="C111">
        <v>0.35</v>
      </c>
      <c r="L111" s="91"/>
      <c r="M111" s="91"/>
    </row>
    <row r="112" spans="2:13" x14ac:dyDescent="0.25">
      <c r="B112">
        <v>18.27</v>
      </c>
      <c r="C112">
        <v>0.33</v>
      </c>
      <c r="L112" s="91"/>
      <c r="M112" s="91"/>
    </row>
    <row r="113" spans="2:13" x14ac:dyDescent="0.25">
      <c r="B113">
        <v>18.09</v>
      </c>
      <c r="C113">
        <v>0.32</v>
      </c>
      <c r="L113" s="91"/>
      <c r="M113" s="91"/>
    </row>
    <row r="114" spans="2:13" x14ac:dyDescent="0.25">
      <c r="B114">
        <v>17.75</v>
      </c>
      <c r="C114">
        <v>0.32</v>
      </c>
      <c r="L114" s="91"/>
      <c r="M114" s="91"/>
    </row>
    <row r="115" spans="2:13" x14ac:dyDescent="0.25">
      <c r="B115">
        <v>17.98</v>
      </c>
      <c r="C115">
        <v>0.32</v>
      </c>
      <c r="L115" s="91"/>
      <c r="M115" s="91"/>
    </row>
    <row r="116" spans="2:13" x14ac:dyDescent="0.25">
      <c r="B116">
        <v>17.899999999999999</v>
      </c>
      <c r="C116">
        <v>0.32</v>
      </c>
      <c r="L116" s="91"/>
      <c r="M116" s="91"/>
    </row>
    <row r="117" spans="2:13" x14ac:dyDescent="0.25">
      <c r="B117">
        <v>17.84</v>
      </c>
      <c r="C117">
        <v>0.32</v>
      </c>
      <c r="L117" s="91"/>
      <c r="M117" s="91"/>
    </row>
    <row r="118" spans="2:13" x14ac:dyDescent="0.25">
      <c r="B118">
        <v>18.170000000000002</v>
      </c>
      <c r="C118">
        <v>0.33</v>
      </c>
      <c r="L118" s="91"/>
      <c r="M118" s="91"/>
    </row>
    <row r="119" spans="2:13" x14ac:dyDescent="0.25">
      <c r="B119">
        <v>17.96</v>
      </c>
      <c r="C119">
        <v>0.33</v>
      </c>
      <c r="L119" s="91"/>
      <c r="M119" s="91"/>
    </row>
    <row r="120" spans="2:13" x14ac:dyDescent="0.25">
      <c r="B120">
        <v>17.68</v>
      </c>
      <c r="C120">
        <v>0.32</v>
      </c>
      <c r="L120" s="91"/>
      <c r="M120" s="91"/>
    </row>
    <row r="121" spans="2:13" x14ac:dyDescent="0.25">
      <c r="B121">
        <v>18.010000000000002</v>
      </c>
      <c r="C121">
        <v>0.32</v>
      </c>
      <c r="L121" s="91"/>
      <c r="M121" s="91"/>
    </row>
    <row r="122" spans="2:13" x14ac:dyDescent="0.25">
      <c r="B122">
        <v>17.73</v>
      </c>
      <c r="C122">
        <v>0.32</v>
      </c>
      <c r="L122" s="91"/>
      <c r="M122" s="91"/>
    </row>
    <row r="123" spans="2:13" x14ac:dyDescent="0.25">
      <c r="B123">
        <v>17.66</v>
      </c>
      <c r="C123">
        <v>0.32</v>
      </c>
      <c r="L123" s="91"/>
      <c r="M123" s="91"/>
    </row>
    <row r="124" spans="2:13" x14ac:dyDescent="0.25">
      <c r="C124" s="89"/>
      <c r="L124" s="91"/>
      <c r="M124" s="91"/>
    </row>
    <row r="125" spans="2:13" x14ac:dyDescent="0.25">
      <c r="C125" s="89"/>
      <c r="L125" s="91"/>
      <c r="M125" s="91"/>
    </row>
    <row r="126" spans="2:13" x14ac:dyDescent="0.25">
      <c r="C126" s="89"/>
      <c r="L126" s="91"/>
      <c r="M126" s="91"/>
    </row>
    <row r="127" spans="2:13" x14ac:dyDescent="0.25">
      <c r="C127" s="89"/>
      <c r="L127" s="91"/>
      <c r="M127" s="91"/>
    </row>
    <row r="128" spans="2:13" x14ac:dyDescent="0.25">
      <c r="C128" s="89"/>
      <c r="L128" s="91"/>
      <c r="M128" s="91"/>
    </row>
    <row r="129" spans="3:13" x14ac:dyDescent="0.25">
      <c r="C129" s="89"/>
      <c r="L129" s="91"/>
      <c r="M129" s="91"/>
    </row>
    <row r="130" spans="3:13" x14ac:dyDescent="0.25">
      <c r="C130" s="89"/>
      <c r="L130" s="91"/>
      <c r="M130" s="91"/>
    </row>
    <row r="131" spans="3:13" x14ac:dyDescent="0.25">
      <c r="C131" s="89"/>
      <c r="L131" s="91"/>
      <c r="M131" s="91"/>
    </row>
    <row r="132" spans="3:13" x14ac:dyDescent="0.25">
      <c r="C132" s="89"/>
      <c r="L132" s="91"/>
      <c r="M132" s="91"/>
    </row>
    <row r="133" spans="3:13" x14ac:dyDescent="0.25">
      <c r="C133" s="89"/>
      <c r="L133" s="91"/>
      <c r="M133" s="91"/>
    </row>
    <row r="134" spans="3:13" x14ac:dyDescent="0.25">
      <c r="C134" s="89"/>
      <c r="L134" s="91"/>
      <c r="M134" s="91"/>
    </row>
    <row r="135" spans="3:13" x14ac:dyDescent="0.25">
      <c r="C135" s="89"/>
      <c r="L135" s="91"/>
      <c r="M135" s="91"/>
    </row>
    <row r="136" spans="3:13" x14ac:dyDescent="0.25">
      <c r="C136" s="89"/>
      <c r="L136" s="91"/>
      <c r="M136" s="91"/>
    </row>
    <row r="137" spans="3:13" x14ac:dyDescent="0.25">
      <c r="C137" s="89"/>
      <c r="L137" s="91"/>
      <c r="M137" s="91"/>
    </row>
    <row r="138" spans="3:13" x14ac:dyDescent="0.25">
      <c r="C138" s="89"/>
      <c r="L138" s="91"/>
      <c r="M138" s="91"/>
    </row>
    <row r="139" spans="3:13" x14ac:dyDescent="0.25">
      <c r="C139" s="89"/>
      <c r="L139" s="91"/>
      <c r="M139" s="91"/>
    </row>
    <row r="140" spans="3:13" x14ac:dyDescent="0.25">
      <c r="C140" s="89"/>
      <c r="L140" s="91"/>
      <c r="M140" s="91"/>
    </row>
    <row r="141" spans="3:13" x14ac:dyDescent="0.25">
      <c r="C141" s="89"/>
      <c r="L141" s="91"/>
      <c r="M141" s="91"/>
    </row>
    <row r="142" spans="3:13" x14ac:dyDescent="0.25">
      <c r="C142" s="89"/>
      <c r="L142" s="91"/>
      <c r="M142" s="91"/>
    </row>
    <row r="143" spans="3:13" x14ac:dyDescent="0.25">
      <c r="C143" s="89"/>
      <c r="L143" s="91"/>
      <c r="M143" s="91"/>
    </row>
    <row r="144" spans="3:13" x14ac:dyDescent="0.25">
      <c r="C144" s="89"/>
      <c r="L144" s="91"/>
      <c r="M144" s="91"/>
    </row>
    <row r="145" spans="3:13" x14ac:dyDescent="0.25">
      <c r="C145" s="89"/>
      <c r="L145" s="91"/>
      <c r="M145" s="91"/>
    </row>
    <row r="146" spans="3:13" x14ac:dyDescent="0.25">
      <c r="C146" s="89"/>
      <c r="L146" s="91"/>
      <c r="M146" s="91"/>
    </row>
    <row r="147" spans="3:13" x14ac:dyDescent="0.25">
      <c r="C147" s="89"/>
      <c r="L147" s="91"/>
      <c r="M147" s="91"/>
    </row>
    <row r="148" spans="3:13" x14ac:dyDescent="0.25">
      <c r="C148" s="89"/>
      <c r="L148" s="91"/>
      <c r="M148" s="91"/>
    </row>
    <row r="149" spans="3:13" x14ac:dyDescent="0.25">
      <c r="C149" s="89"/>
      <c r="L149" s="91"/>
      <c r="M149" s="91"/>
    </row>
    <row r="150" spans="3:13" x14ac:dyDescent="0.25">
      <c r="C150" s="89"/>
      <c r="L150" s="91"/>
      <c r="M150" s="91"/>
    </row>
    <row r="151" spans="3:13" x14ac:dyDescent="0.25">
      <c r="C151" s="89"/>
      <c r="L151" s="91"/>
      <c r="M151" s="91"/>
    </row>
    <row r="152" spans="3:13" x14ac:dyDescent="0.25">
      <c r="C152" s="89"/>
    </row>
    <row r="153" spans="3:13" x14ac:dyDescent="0.25">
      <c r="C153" s="89"/>
    </row>
    <row r="154" spans="3:13" x14ac:dyDescent="0.25">
      <c r="C154" s="89"/>
    </row>
    <row r="155" spans="3:13" x14ac:dyDescent="0.25">
      <c r="C155" s="89"/>
    </row>
    <row r="156" spans="3:13" x14ac:dyDescent="0.25">
      <c r="C156" s="89"/>
    </row>
    <row r="157" spans="3:13" x14ac:dyDescent="0.25">
      <c r="C157" s="89"/>
    </row>
    <row r="158" spans="3:13" x14ac:dyDescent="0.25">
      <c r="C158" s="89"/>
    </row>
    <row r="159" spans="3:13" x14ac:dyDescent="0.25">
      <c r="C159" s="89"/>
    </row>
    <row r="160" spans="3:13" x14ac:dyDescent="0.25">
      <c r="C160" s="89"/>
    </row>
    <row r="161" spans="3:3" x14ac:dyDescent="0.25">
      <c r="C161" s="89"/>
    </row>
    <row r="162" spans="3:3" x14ac:dyDescent="0.25">
      <c r="C162" s="89"/>
    </row>
    <row r="163" spans="3:3" x14ac:dyDescent="0.25">
      <c r="C163" s="89"/>
    </row>
    <row r="164" spans="3:3" x14ac:dyDescent="0.25">
      <c r="C164" s="89"/>
    </row>
    <row r="165" spans="3:3" x14ac:dyDescent="0.25">
      <c r="C165" s="89"/>
    </row>
    <row r="166" spans="3:3" x14ac:dyDescent="0.25">
      <c r="C166" s="89"/>
    </row>
    <row r="167" spans="3:3" x14ac:dyDescent="0.25">
      <c r="C167" s="89"/>
    </row>
    <row r="168" spans="3:3" x14ac:dyDescent="0.25">
      <c r="C168" s="89"/>
    </row>
    <row r="169" spans="3:3" x14ac:dyDescent="0.25">
      <c r="C169" s="89"/>
    </row>
    <row r="170" spans="3:3" x14ac:dyDescent="0.25">
      <c r="C170" s="89"/>
    </row>
    <row r="171" spans="3:3" x14ac:dyDescent="0.25">
      <c r="C171" s="89"/>
    </row>
    <row r="172" spans="3:3" x14ac:dyDescent="0.25">
      <c r="C172" s="89"/>
    </row>
    <row r="173" spans="3:3" x14ac:dyDescent="0.25">
      <c r="C173" s="89"/>
    </row>
    <row r="174" spans="3:3" x14ac:dyDescent="0.25">
      <c r="C174" s="89"/>
    </row>
    <row r="175" spans="3:3" x14ac:dyDescent="0.25">
      <c r="C175" s="89"/>
    </row>
    <row r="176" spans="3:3" x14ac:dyDescent="0.25">
      <c r="C176" s="89"/>
    </row>
    <row r="177" spans="3:3" x14ac:dyDescent="0.25">
      <c r="C177" s="89"/>
    </row>
    <row r="178" spans="3:3" x14ac:dyDescent="0.25">
      <c r="C178" s="89"/>
    </row>
    <row r="179" spans="3:3" x14ac:dyDescent="0.25">
      <c r="C179" s="89"/>
    </row>
    <row r="180" spans="3:3" x14ac:dyDescent="0.25">
      <c r="C180" s="89"/>
    </row>
    <row r="181" spans="3:3" x14ac:dyDescent="0.25">
      <c r="C181" s="89"/>
    </row>
    <row r="182" spans="3:3" x14ac:dyDescent="0.25">
      <c r="C182" s="89"/>
    </row>
    <row r="183" spans="3:3" x14ac:dyDescent="0.25">
      <c r="C183" s="89"/>
    </row>
    <row r="184" spans="3:3" x14ac:dyDescent="0.25">
      <c r="C184" s="89"/>
    </row>
    <row r="185" spans="3:3" x14ac:dyDescent="0.25">
      <c r="C185" s="89"/>
    </row>
    <row r="186" spans="3:3" x14ac:dyDescent="0.25">
      <c r="C186" s="89"/>
    </row>
    <row r="187" spans="3:3" x14ac:dyDescent="0.25">
      <c r="C187" s="89"/>
    </row>
    <row r="188" spans="3:3" x14ac:dyDescent="0.25">
      <c r="C188" s="89"/>
    </row>
    <row r="189" spans="3:3" x14ac:dyDescent="0.25">
      <c r="C189" s="89"/>
    </row>
    <row r="190" spans="3:3" x14ac:dyDescent="0.25">
      <c r="C190" s="89"/>
    </row>
    <row r="191" spans="3:3" x14ac:dyDescent="0.25">
      <c r="C191" s="89"/>
    </row>
    <row r="192" spans="3:3" x14ac:dyDescent="0.25">
      <c r="C192" s="89"/>
    </row>
    <row r="193" spans="3:3" x14ac:dyDescent="0.25">
      <c r="C193" s="89"/>
    </row>
    <row r="194" spans="3:3" x14ac:dyDescent="0.25">
      <c r="C194" s="89"/>
    </row>
    <row r="195" spans="3:3" x14ac:dyDescent="0.25">
      <c r="C195" s="89"/>
    </row>
    <row r="196" spans="3:3" x14ac:dyDescent="0.25">
      <c r="C196" s="89"/>
    </row>
    <row r="197" spans="3:3" x14ac:dyDescent="0.25">
      <c r="C197" s="89"/>
    </row>
    <row r="198" spans="3:3" x14ac:dyDescent="0.25">
      <c r="C198" s="89"/>
    </row>
    <row r="199" spans="3:3" x14ac:dyDescent="0.25">
      <c r="C199" s="89"/>
    </row>
    <row r="200" spans="3:3" x14ac:dyDescent="0.25">
      <c r="C200" s="89"/>
    </row>
    <row r="201" spans="3:3" x14ac:dyDescent="0.25">
      <c r="C201" s="89"/>
    </row>
    <row r="202" spans="3:3" x14ac:dyDescent="0.25">
      <c r="C202" s="89"/>
    </row>
    <row r="203" spans="3:3" x14ac:dyDescent="0.25">
      <c r="C203" s="89"/>
    </row>
    <row r="204" spans="3:3" x14ac:dyDescent="0.25">
      <c r="C204" s="89"/>
    </row>
    <row r="205" spans="3:3" x14ac:dyDescent="0.25">
      <c r="C205" s="89"/>
    </row>
    <row r="206" spans="3:3" x14ac:dyDescent="0.25">
      <c r="C206" s="89"/>
    </row>
    <row r="207" spans="3:3" x14ac:dyDescent="0.25">
      <c r="C207" s="89"/>
    </row>
    <row r="208" spans="3:3" x14ac:dyDescent="0.25">
      <c r="C208" s="89"/>
    </row>
    <row r="209" spans="3:3" x14ac:dyDescent="0.25">
      <c r="C209" s="89"/>
    </row>
    <row r="210" spans="3:3" x14ac:dyDescent="0.25">
      <c r="C210" s="89"/>
    </row>
    <row r="211" spans="3:3" x14ac:dyDescent="0.25">
      <c r="C211" s="89"/>
    </row>
    <row r="212" spans="3:3" x14ac:dyDescent="0.25">
      <c r="C212" s="89"/>
    </row>
    <row r="213" spans="3:3" x14ac:dyDescent="0.25">
      <c r="C213" s="89"/>
    </row>
    <row r="214" spans="3:3" x14ac:dyDescent="0.25">
      <c r="C214" s="89"/>
    </row>
    <row r="215" spans="3:3" x14ac:dyDescent="0.25">
      <c r="C215" s="89"/>
    </row>
    <row r="216" spans="3:3" x14ac:dyDescent="0.25">
      <c r="C216" s="89"/>
    </row>
    <row r="217" spans="3:3" x14ac:dyDescent="0.25">
      <c r="C217" s="89"/>
    </row>
    <row r="218" spans="3:3" x14ac:dyDescent="0.25">
      <c r="C218" s="89"/>
    </row>
    <row r="219" spans="3:3" x14ac:dyDescent="0.25">
      <c r="C219" s="89"/>
    </row>
    <row r="220" spans="3:3" x14ac:dyDescent="0.25">
      <c r="C220" s="89"/>
    </row>
    <row r="221" spans="3:3" x14ac:dyDescent="0.25">
      <c r="C221" s="89"/>
    </row>
    <row r="222" spans="3:3" x14ac:dyDescent="0.25">
      <c r="C222" s="89"/>
    </row>
    <row r="223" spans="3:3" x14ac:dyDescent="0.25">
      <c r="C223" s="89"/>
    </row>
    <row r="224" spans="3:3" x14ac:dyDescent="0.25">
      <c r="C224" s="89"/>
    </row>
    <row r="225" spans="3:3" x14ac:dyDescent="0.25">
      <c r="C225" s="89"/>
    </row>
    <row r="226" spans="3:3" x14ac:dyDescent="0.25">
      <c r="C226" s="89"/>
    </row>
    <row r="227" spans="3:3" x14ac:dyDescent="0.25">
      <c r="C227" s="89"/>
    </row>
    <row r="228" spans="3:3" x14ac:dyDescent="0.25">
      <c r="C228" s="89"/>
    </row>
    <row r="229" spans="3:3" x14ac:dyDescent="0.25">
      <c r="C229" s="89"/>
    </row>
    <row r="230" spans="3:3" x14ac:dyDescent="0.25">
      <c r="C230" s="89"/>
    </row>
    <row r="231" spans="3:3" x14ac:dyDescent="0.25">
      <c r="C231" s="89"/>
    </row>
    <row r="232" spans="3:3" x14ac:dyDescent="0.25">
      <c r="C232" s="89"/>
    </row>
    <row r="233" spans="3:3" x14ac:dyDescent="0.25">
      <c r="C233" s="89"/>
    </row>
    <row r="234" spans="3:3" x14ac:dyDescent="0.25">
      <c r="C234" s="89"/>
    </row>
    <row r="235" spans="3:3" x14ac:dyDescent="0.25">
      <c r="C235" s="89"/>
    </row>
    <row r="236" spans="3:3" x14ac:dyDescent="0.25">
      <c r="C236" s="89"/>
    </row>
    <row r="237" spans="3:3" x14ac:dyDescent="0.25">
      <c r="C237" s="89"/>
    </row>
    <row r="238" spans="3:3" x14ac:dyDescent="0.25">
      <c r="C238" s="89"/>
    </row>
    <row r="239" spans="3:3" x14ac:dyDescent="0.25">
      <c r="C239" s="89"/>
    </row>
    <row r="240" spans="3:3" x14ac:dyDescent="0.25">
      <c r="C240" s="89"/>
    </row>
    <row r="241" spans="3:3" x14ac:dyDescent="0.25">
      <c r="C241" s="89"/>
    </row>
    <row r="242" spans="3:3" x14ac:dyDescent="0.25">
      <c r="C242" s="89"/>
    </row>
    <row r="243" spans="3:3" x14ac:dyDescent="0.25">
      <c r="C243" s="89"/>
    </row>
    <row r="244" spans="3:3" x14ac:dyDescent="0.25">
      <c r="C244" s="89"/>
    </row>
    <row r="245" spans="3:3" x14ac:dyDescent="0.25">
      <c r="C245" s="89"/>
    </row>
    <row r="246" spans="3:3" x14ac:dyDescent="0.25">
      <c r="C246" s="89"/>
    </row>
    <row r="247" spans="3:3" x14ac:dyDescent="0.25">
      <c r="C247" s="89"/>
    </row>
    <row r="248" spans="3:3" x14ac:dyDescent="0.25">
      <c r="C248" s="89"/>
    </row>
    <row r="249" spans="3:3" x14ac:dyDescent="0.25">
      <c r="C249" s="89"/>
    </row>
    <row r="250" spans="3:3" x14ac:dyDescent="0.25">
      <c r="C250" s="89"/>
    </row>
    <row r="251" spans="3:3" x14ac:dyDescent="0.25">
      <c r="C251" s="89"/>
    </row>
    <row r="252" spans="3:3" x14ac:dyDescent="0.25">
      <c r="C252" s="89"/>
    </row>
    <row r="253" spans="3:3" x14ac:dyDescent="0.25">
      <c r="C253" s="89"/>
    </row>
    <row r="254" spans="3:3" x14ac:dyDescent="0.25">
      <c r="C254" s="89"/>
    </row>
    <row r="255" spans="3:3" x14ac:dyDescent="0.25">
      <c r="C255" s="89"/>
    </row>
    <row r="256" spans="3:3" x14ac:dyDescent="0.25">
      <c r="C256" s="89"/>
    </row>
    <row r="257" spans="3:3" x14ac:dyDescent="0.25">
      <c r="C257" s="89"/>
    </row>
    <row r="258" spans="3:3" x14ac:dyDescent="0.25">
      <c r="C258" s="89"/>
    </row>
    <row r="259" spans="3:3" x14ac:dyDescent="0.25">
      <c r="C259" s="89"/>
    </row>
    <row r="260" spans="3:3" x14ac:dyDescent="0.25">
      <c r="C260" s="89"/>
    </row>
    <row r="261" spans="3:3" x14ac:dyDescent="0.25">
      <c r="C261" s="89"/>
    </row>
    <row r="262" spans="3:3" x14ac:dyDescent="0.25">
      <c r="C262" s="89"/>
    </row>
    <row r="263" spans="3:3" x14ac:dyDescent="0.25">
      <c r="C263" s="89"/>
    </row>
    <row r="264" spans="3:3" x14ac:dyDescent="0.25">
      <c r="C264" s="89"/>
    </row>
    <row r="265" spans="3:3" x14ac:dyDescent="0.25">
      <c r="C265" s="89"/>
    </row>
    <row r="266" spans="3:3" x14ac:dyDescent="0.25">
      <c r="C266" s="89"/>
    </row>
    <row r="267" spans="3:3" x14ac:dyDescent="0.25">
      <c r="C267" s="89"/>
    </row>
    <row r="268" spans="3:3" x14ac:dyDescent="0.25">
      <c r="C268" s="89"/>
    </row>
    <row r="269" spans="3:3" x14ac:dyDescent="0.25">
      <c r="C269" s="89"/>
    </row>
    <row r="270" spans="3:3" x14ac:dyDescent="0.25">
      <c r="C270" s="89"/>
    </row>
    <row r="271" spans="3:3" x14ac:dyDescent="0.25">
      <c r="C271" s="89"/>
    </row>
    <row r="272" spans="3:3" x14ac:dyDescent="0.25">
      <c r="C272" s="89"/>
    </row>
    <row r="273" spans="3:3" x14ac:dyDescent="0.25">
      <c r="C273" s="89"/>
    </row>
    <row r="274" spans="3:3" x14ac:dyDescent="0.25">
      <c r="C274" s="89"/>
    </row>
    <row r="275" spans="3:3" x14ac:dyDescent="0.25">
      <c r="C275" s="89"/>
    </row>
    <row r="276" spans="3:3" x14ac:dyDescent="0.25">
      <c r="C276" s="89"/>
    </row>
    <row r="277" spans="3:3" x14ac:dyDescent="0.25">
      <c r="C277" s="89"/>
    </row>
    <row r="278" spans="3:3" x14ac:dyDescent="0.25">
      <c r="C278" s="89"/>
    </row>
    <row r="279" spans="3:3" x14ac:dyDescent="0.25">
      <c r="C279" s="89"/>
    </row>
    <row r="280" spans="3:3" x14ac:dyDescent="0.25">
      <c r="C280" s="89"/>
    </row>
    <row r="281" spans="3:3" x14ac:dyDescent="0.25">
      <c r="C281" s="89"/>
    </row>
    <row r="282" spans="3:3" x14ac:dyDescent="0.25">
      <c r="C282" s="89"/>
    </row>
    <row r="283" spans="3:3" x14ac:dyDescent="0.25">
      <c r="C283" s="89"/>
    </row>
    <row r="284" spans="3:3" x14ac:dyDescent="0.25">
      <c r="C284" s="89"/>
    </row>
    <row r="285" spans="3:3" x14ac:dyDescent="0.25">
      <c r="C285" s="89"/>
    </row>
    <row r="286" spans="3:3" x14ac:dyDescent="0.25">
      <c r="C286" s="89"/>
    </row>
    <row r="287" spans="3:3" x14ac:dyDescent="0.25">
      <c r="C287" s="89"/>
    </row>
    <row r="288" spans="3:3" x14ac:dyDescent="0.25">
      <c r="C288" s="89"/>
    </row>
    <row r="289" spans="3:3" x14ac:dyDescent="0.25">
      <c r="C289" s="89"/>
    </row>
    <row r="290" spans="3:3" x14ac:dyDescent="0.25">
      <c r="C290" s="89"/>
    </row>
    <row r="291" spans="3:3" x14ac:dyDescent="0.25">
      <c r="C291" s="89"/>
    </row>
    <row r="292" spans="3:3" x14ac:dyDescent="0.25">
      <c r="C292" s="89"/>
    </row>
    <row r="293" spans="3:3" x14ac:dyDescent="0.25">
      <c r="C293" s="89"/>
    </row>
    <row r="294" spans="3:3" x14ac:dyDescent="0.25">
      <c r="C294" s="89"/>
    </row>
    <row r="295" spans="3:3" x14ac:dyDescent="0.25">
      <c r="C295" s="89"/>
    </row>
    <row r="296" spans="3:3" x14ac:dyDescent="0.25">
      <c r="C296" s="89"/>
    </row>
    <row r="297" spans="3:3" x14ac:dyDescent="0.25">
      <c r="C297" s="89"/>
    </row>
    <row r="298" spans="3:3" x14ac:dyDescent="0.25">
      <c r="C298" s="89"/>
    </row>
    <row r="299" spans="3:3" x14ac:dyDescent="0.25">
      <c r="C299" s="89"/>
    </row>
    <row r="300" spans="3:3" x14ac:dyDescent="0.25">
      <c r="C300" s="89"/>
    </row>
    <row r="301" spans="3:3" x14ac:dyDescent="0.25">
      <c r="C301" s="89"/>
    </row>
    <row r="302" spans="3:3" x14ac:dyDescent="0.25">
      <c r="C302" s="89"/>
    </row>
    <row r="303" spans="3:3" x14ac:dyDescent="0.25">
      <c r="C303" s="89"/>
    </row>
    <row r="304" spans="3:3" x14ac:dyDescent="0.25">
      <c r="C304" s="89"/>
    </row>
    <row r="305" spans="3:3" x14ac:dyDescent="0.25">
      <c r="C305" s="89"/>
    </row>
    <row r="306" spans="3:3" x14ac:dyDescent="0.25">
      <c r="C306" s="89"/>
    </row>
    <row r="307" spans="3:3" x14ac:dyDescent="0.25">
      <c r="C307" s="89"/>
    </row>
    <row r="308" spans="3:3" x14ac:dyDescent="0.25">
      <c r="C308" s="89"/>
    </row>
    <row r="309" spans="3:3" x14ac:dyDescent="0.25">
      <c r="C309" s="89"/>
    </row>
    <row r="310" spans="3:3" x14ac:dyDescent="0.25">
      <c r="C310" s="89"/>
    </row>
    <row r="311" spans="3:3" x14ac:dyDescent="0.25">
      <c r="C311" s="89"/>
    </row>
    <row r="312" spans="3:3" x14ac:dyDescent="0.25">
      <c r="C312" s="89"/>
    </row>
    <row r="313" spans="3:3" x14ac:dyDescent="0.25">
      <c r="C313" s="89"/>
    </row>
    <row r="314" spans="3:3" x14ac:dyDescent="0.25">
      <c r="C314" s="89"/>
    </row>
    <row r="315" spans="3:3" x14ac:dyDescent="0.25">
      <c r="C315" s="89"/>
    </row>
    <row r="316" spans="3:3" x14ac:dyDescent="0.25">
      <c r="C316" s="89"/>
    </row>
    <row r="317" spans="3:3" x14ac:dyDescent="0.25">
      <c r="C317" s="89"/>
    </row>
    <row r="318" spans="3:3" x14ac:dyDescent="0.25">
      <c r="C318" s="89"/>
    </row>
    <row r="319" spans="3:3" x14ac:dyDescent="0.25">
      <c r="C319" s="89"/>
    </row>
    <row r="320" spans="3:3" x14ac:dyDescent="0.25">
      <c r="C320" s="89"/>
    </row>
    <row r="321" spans="3:3" x14ac:dyDescent="0.25">
      <c r="C321" s="89"/>
    </row>
    <row r="322" spans="3:3" x14ac:dyDescent="0.25">
      <c r="C322" s="89"/>
    </row>
    <row r="323" spans="3:3" x14ac:dyDescent="0.25">
      <c r="C323" s="89"/>
    </row>
    <row r="324" spans="3:3" x14ac:dyDescent="0.25">
      <c r="C324" s="89"/>
    </row>
    <row r="325" spans="3:3" x14ac:dyDescent="0.25">
      <c r="C325" s="89"/>
    </row>
    <row r="326" spans="3:3" x14ac:dyDescent="0.25">
      <c r="C326" s="89"/>
    </row>
    <row r="327" spans="3:3" x14ac:dyDescent="0.25">
      <c r="C327" s="89"/>
    </row>
    <row r="328" spans="3:3" x14ac:dyDescent="0.25">
      <c r="C328" s="89"/>
    </row>
    <row r="329" spans="3:3" x14ac:dyDescent="0.25">
      <c r="C329" s="89"/>
    </row>
    <row r="330" spans="3:3" x14ac:dyDescent="0.25">
      <c r="C330" s="89"/>
    </row>
    <row r="331" spans="3:3" x14ac:dyDescent="0.25">
      <c r="C331" s="89"/>
    </row>
    <row r="332" spans="3:3" x14ac:dyDescent="0.25">
      <c r="C332" s="89"/>
    </row>
    <row r="333" spans="3:3" x14ac:dyDescent="0.25">
      <c r="C333" s="89"/>
    </row>
    <row r="334" spans="3:3" x14ac:dyDescent="0.25">
      <c r="C334" s="89"/>
    </row>
    <row r="335" spans="3:3" x14ac:dyDescent="0.25">
      <c r="C335" s="89"/>
    </row>
    <row r="336" spans="3:3" x14ac:dyDescent="0.25">
      <c r="C336" s="89"/>
    </row>
    <row r="337" spans="3:3" x14ac:dyDescent="0.25">
      <c r="C337" s="89"/>
    </row>
    <row r="338" spans="3:3" x14ac:dyDescent="0.25">
      <c r="C338" s="89"/>
    </row>
    <row r="339" spans="3:3" x14ac:dyDescent="0.25">
      <c r="C339" s="89"/>
    </row>
    <row r="340" spans="3:3" x14ac:dyDescent="0.25">
      <c r="C340" s="89"/>
    </row>
    <row r="341" spans="3:3" x14ac:dyDescent="0.25">
      <c r="C341" s="89"/>
    </row>
    <row r="342" spans="3:3" x14ac:dyDescent="0.25">
      <c r="C342" s="89"/>
    </row>
    <row r="343" spans="3:3" x14ac:dyDescent="0.25">
      <c r="C343" s="89"/>
    </row>
    <row r="344" spans="3:3" x14ac:dyDescent="0.25">
      <c r="C344" s="89"/>
    </row>
    <row r="345" spans="3:3" x14ac:dyDescent="0.25">
      <c r="C345" s="89"/>
    </row>
    <row r="346" spans="3:3" x14ac:dyDescent="0.25">
      <c r="C346" s="89"/>
    </row>
    <row r="347" spans="3:3" x14ac:dyDescent="0.25">
      <c r="C347" s="89"/>
    </row>
    <row r="348" spans="3:3" x14ac:dyDescent="0.25">
      <c r="C348" s="89"/>
    </row>
    <row r="349" spans="3:3" x14ac:dyDescent="0.25">
      <c r="C349" s="89"/>
    </row>
    <row r="350" spans="3:3" x14ac:dyDescent="0.25">
      <c r="C350" s="89"/>
    </row>
    <row r="351" spans="3:3" x14ac:dyDescent="0.25">
      <c r="C351" s="89"/>
    </row>
    <row r="352" spans="3:3" x14ac:dyDescent="0.25">
      <c r="C352" s="89"/>
    </row>
    <row r="353" spans="3:3" x14ac:dyDescent="0.25">
      <c r="C353" s="89"/>
    </row>
    <row r="354" spans="3:3" x14ac:dyDescent="0.25">
      <c r="C354" s="89"/>
    </row>
    <row r="355" spans="3:3" x14ac:dyDescent="0.25">
      <c r="C355" s="89"/>
    </row>
    <row r="356" spans="3:3" x14ac:dyDescent="0.25">
      <c r="C356" s="89"/>
    </row>
    <row r="357" spans="3:3" x14ac:dyDescent="0.25">
      <c r="C357" s="89"/>
    </row>
    <row r="358" spans="3:3" x14ac:dyDescent="0.25">
      <c r="C358" s="89"/>
    </row>
    <row r="359" spans="3:3" x14ac:dyDescent="0.25">
      <c r="C359" s="89"/>
    </row>
    <row r="360" spans="3:3" x14ac:dyDescent="0.25">
      <c r="C360" s="89"/>
    </row>
    <row r="361" spans="3:3" x14ac:dyDescent="0.25">
      <c r="C361" s="89"/>
    </row>
    <row r="362" spans="3:3" x14ac:dyDescent="0.25">
      <c r="C362" s="89"/>
    </row>
    <row r="363" spans="3:3" x14ac:dyDescent="0.25">
      <c r="C363" s="89"/>
    </row>
    <row r="364" spans="3:3" x14ac:dyDescent="0.25">
      <c r="C364" s="89"/>
    </row>
    <row r="365" spans="3:3" x14ac:dyDescent="0.25">
      <c r="C365" s="89"/>
    </row>
    <row r="366" spans="3:3" x14ac:dyDescent="0.25">
      <c r="C366" s="89"/>
    </row>
    <row r="367" spans="3:3" x14ac:dyDescent="0.25">
      <c r="C367" s="89"/>
    </row>
    <row r="368" spans="3:3" x14ac:dyDescent="0.25">
      <c r="C368" s="89"/>
    </row>
    <row r="369" spans="3:3" x14ac:dyDescent="0.25">
      <c r="C369" s="89"/>
    </row>
    <row r="370" spans="3:3" x14ac:dyDescent="0.25">
      <c r="C370" s="89"/>
    </row>
    <row r="371" spans="3:3" x14ac:dyDescent="0.25">
      <c r="C371" s="89"/>
    </row>
    <row r="372" spans="3:3" x14ac:dyDescent="0.25">
      <c r="C372" s="89"/>
    </row>
    <row r="373" spans="3:3" x14ac:dyDescent="0.25">
      <c r="C373" s="89"/>
    </row>
    <row r="374" spans="3:3" x14ac:dyDescent="0.25">
      <c r="C374" s="89"/>
    </row>
    <row r="375" spans="3:3" x14ac:dyDescent="0.25">
      <c r="C375" s="89"/>
    </row>
    <row r="376" spans="3:3" x14ac:dyDescent="0.25">
      <c r="C376" s="89"/>
    </row>
    <row r="377" spans="3:3" x14ac:dyDescent="0.25">
      <c r="C377" s="89"/>
    </row>
    <row r="378" spans="3:3" x14ac:dyDescent="0.25">
      <c r="C378" s="89"/>
    </row>
    <row r="379" spans="3:3" x14ac:dyDescent="0.25">
      <c r="C379" s="89"/>
    </row>
    <row r="380" spans="3:3" x14ac:dyDescent="0.25">
      <c r="C380" s="89"/>
    </row>
    <row r="381" spans="3:3" x14ac:dyDescent="0.25">
      <c r="C381" s="89"/>
    </row>
    <row r="382" spans="3:3" x14ac:dyDescent="0.25">
      <c r="C382" s="89"/>
    </row>
    <row r="383" spans="3:3" x14ac:dyDescent="0.25">
      <c r="C383" s="89"/>
    </row>
    <row r="384" spans="3:3" x14ac:dyDescent="0.25">
      <c r="C384" s="89"/>
    </row>
    <row r="385" spans="3:3" x14ac:dyDescent="0.25">
      <c r="C385" s="89"/>
    </row>
    <row r="386" spans="3:3" x14ac:dyDescent="0.25">
      <c r="C386" s="89"/>
    </row>
    <row r="387" spans="3:3" x14ac:dyDescent="0.25">
      <c r="C387" s="89"/>
    </row>
    <row r="388" spans="3:3" x14ac:dyDescent="0.25">
      <c r="C388" s="89"/>
    </row>
    <row r="389" spans="3:3" x14ac:dyDescent="0.25">
      <c r="C389" s="89"/>
    </row>
    <row r="390" spans="3:3" x14ac:dyDescent="0.25">
      <c r="C390" s="89"/>
    </row>
    <row r="391" spans="3:3" x14ac:dyDescent="0.25">
      <c r="C391" s="89"/>
    </row>
    <row r="392" spans="3:3" x14ac:dyDescent="0.25">
      <c r="C392" s="89"/>
    </row>
    <row r="393" spans="3:3" x14ac:dyDescent="0.25">
      <c r="C393" s="89"/>
    </row>
    <row r="394" spans="3:3" x14ac:dyDescent="0.25">
      <c r="C394" s="89"/>
    </row>
    <row r="395" spans="3:3" x14ac:dyDescent="0.25">
      <c r="C395" s="89"/>
    </row>
    <row r="396" spans="3:3" x14ac:dyDescent="0.25">
      <c r="C396" s="89"/>
    </row>
    <row r="397" spans="3:3" x14ac:dyDescent="0.25">
      <c r="C397" s="89"/>
    </row>
    <row r="398" spans="3:3" x14ac:dyDescent="0.25">
      <c r="C398" s="89"/>
    </row>
    <row r="399" spans="3:3" x14ac:dyDescent="0.25">
      <c r="C399" s="89"/>
    </row>
    <row r="400" spans="3:3" x14ac:dyDescent="0.25">
      <c r="C400" s="89"/>
    </row>
    <row r="401" spans="3:3" x14ac:dyDescent="0.25">
      <c r="C401" s="89"/>
    </row>
    <row r="402" spans="3:3" x14ac:dyDescent="0.25">
      <c r="C402" s="89"/>
    </row>
    <row r="403" spans="3:3" x14ac:dyDescent="0.25">
      <c r="C403" s="89"/>
    </row>
    <row r="404" spans="3:3" x14ac:dyDescent="0.25">
      <c r="C404" s="89"/>
    </row>
    <row r="405" spans="3:3" x14ac:dyDescent="0.25">
      <c r="C405" s="89"/>
    </row>
    <row r="406" spans="3:3" x14ac:dyDescent="0.25">
      <c r="C406" s="89"/>
    </row>
    <row r="407" spans="3:3" x14ac:dyDescent="0.25">
      <c r="C407" s="89"/>
    </row>
    <row r="408" spans="3:3" x14ac:dyDescent="0.25">
      <c r="C408" s="89"/>
    </row>
    <row r="409" spans="3:3" x14ac:dyDescent="0.25">
      <c r="C409" s="89"/>
    </row>
    <row r="410" spans="3:3" x14ac:dyDescent="0.25">
      <c r="C410" s="89"/>
    </row>
    <row r="411" spans="3:3" x14ac:dyDescent="0.25">
      <c r="C411" s="89"/>
    </row>
    <row r="412" spans="3:3" x14ac:dyDescent="0.25">
      <c r="C412" s="89"/>
    </row>
    <row r="413" spans="3:3" x14ac:dyDescent="0.25">
      <c r="C413" s="89"/>
    </row>
    <row r="414" spans="3:3" x14ac:dyDescent="0.25">
      <c r="C414" s="89"/>
    </row>
    <row r="415" spans="3:3" x14ac:dyDescent="0.25">
      <c r="C415" s="89"/>
    </row>
    <row r="416" spans="3:3" x14ac:dyDescent="0.25">
      <c r="C416" s="89"/>
    </row>
    <row r="417" spans="3:3" x14ac:dyDescent="0.25">
      <c r="C417" s="89"/>
    </row>
    <row r="418" spans="3:3" x14ac:dyDescent="0.25">
      <c r="C418" s="89"/>
    </row>
    <row r="419" spans="3:3" x14ac:dyDescent="0.25">
      <c r="C419" s="89"/>
    </row>
    <row r="420" spans="3:3" x14ac:dyDescent="0.25">
      <c r="C420" s="89"/>
    </row>
    <row r="421" spans="3:3" x14ac:dyDescent="0.25">
      <c r="C421" s="89"/>
    </row>
    <row r="422" spans="3:3" x14ac:dyDescent="0.25">
      <c r="C422" s="89"/>
    </row>
    <row r="423" spans="3:3" x14ac:dyDescent="0.25">
      <c r="C423" s="89"/>
    </row>
    <row r="424" spans="3:3" x14ac:dyDescent="0.25">
      <c r="C424" s="89"/>
    </row>
    <row r="425" spans="3:3" x14ac:dyDescent="0.25">
      <c r="C425" s="89"/>
    </row>
    <row r="426" spans="3:3" x14ac:dyDescent="0.25">
      <c r="C426" s="89"/>
    </row>
    <row r="427" spans="3:3" x14ac:dyDescent="0.25">
      <c r="C427" s="89"/>
    </row>
    <row r="428" spans="3:3" x14ac:dyDescent="0.25">
      <c r="C428" s="89"/>
    </row>
    <row r="429" spans="3:3" x14ac:dyDescent="0.25">
      <c r="C429" s="89"/>
    </row>
    <row r="430" spans="3:3" x14ac:dyDescent="0.25">
      <c r="C430" s="89"/>
    </row>
    <row r="431" spans="3:3" x14ac:dyDescent="0.25">
      <c r="C431" s="89"/>
    </row>
    <row r="432" spans="3:3" x14ac:dyDescent="0.25">
      <c r="C432" s="89"/>
    </row>
    <row r="433" spans="3:3" x14ac:dyDescent="0.25">
      <c r="C433" s="89"/>
    </row>
    <row r="434" spans="3:3" x14ac:dyDescent="0.25">
      <c r="C434" s="89"/>
    </row>
    <row r="435" spans="3:3" x14ac:dyDescent="0.25">
      <c r="C435" s="89"/>
    </row>
    <row r="436" spans="3:3" x14ac:dyDescent="0.25">
      <c r="C436" s="89"/>
    </row>
    <row r="437" spans="3:3" x14ac:dyDescent="0.25">
      <c r="C437" s="89"/>
    </row>
    <row r="438" spans="3:3" x14ac:dyDescent="0.25">
      <c r="C438" s="89"/>
    </row>
    <row r="439" spans="3:3" x14ac:dyDescent="0.25">
      <c r="C439" s="89"/>
    </row>
    <row r="440" spans="3:3" x14ac:dyDescent="0.25">
      <c r="C440" s="89"/>
    </row>
    <row r="441" spans="3:3" x14ac:dyDescent="0.25">
      <c r="C441" s="89"/>
    </row>
    <row r="442" spans="3:3" x14ac:dyDescent="0.25">
      <c r="C442" s="89"/>
    </row>
    <row r="443" spans="3:3" x14ac:dyDescent="0.25">
      <c r="C443" s="89"/>
    </row>
    <row r="444" spans="3:3" x14ac:dyDescent="0.25">
      <c r="C444" s="89"/>
    </row>
    <row r="445" spans="3:3" x14ac:dyDescent="0.25">
      <c r="C445" s="89"/>
    </row>
    <row r="446" spans="3:3" x14ac:dyDescent="0.25">
      <c r="C446" s="89"/>
    </row>
    <row r="447" spans="3:3" x14ac:dyDescent="0.25">
      <c r="C447" s="89"/>
    </row>
    <row r="448" spans="3:3" x14ac:dyDescent="0.25">
      <c r="C448" s="89"/>
    </row>
    <row r="449" spans="3:3" x14ac:dyDescent="0.25">
      <c r="C449" s="89"/>
    </row>
    <row r="450" spans="3:3" x14ac:dyDescent="0.25">
      <c r="C450" s="89"/>
    </row>
    <row r="451" spans="3:3" x14ac:dyDescent="0.25">
      <c r="C451" s="89"/>
    </row>
    <row r="452" spans="3:3" x14ac:dyDescent="0.25">
      <c r="C452" s="89"/>
    </row>
    <row r="453" spans="3:3" x14ac:dyDescent="0.25">
      <c r="C453" s="89"/>
    </row>
    <row r="454" spans="3:3" x14ac:dyDescent="0.25">
      <c r="C454" s="89"/>
    </row>
    <row r="455" spans="3:3" x14ac:dyDescent="0.25">
      <c r="C455" s="89"/>
    </row>
    <row r="456" spans="3:3" x14ac:dyDescent="0.25">
      <c r="C456" s="89"/>
    </row>
    <row r="457" spans="3:3" x14ac:dyDescent="0.25">
      <c r="C457" s="89"/>
    </row>
    <row r="458" spans="3:3" x14ac:dyDescent="0.25">
      <c r="C458" s="89"/>
    </row>
    <row r="459" spans="3:3" x14ac:dyDescent="0.25">
      <c r="C459" s="89"/>
    </row>
    <row r="460" spans="3:3" x14ac:dyDescent="0.25">
      <c r="C460" s="89"/>
    </row>
    <row r="461" spans="3:3" x14ac:dyDescent="0.25">
      <c r="C461" s="89"/>
    </row>
    <row r="462" spans="3:3" x14ac:dyDescent="0.25">
      <c r="C462" s="89"/>
    </row>
    <row r="463" spans="3:3" x14ac:dyDescent="0.25">
      <c r="C463" s="89"/>
    </row>
    <row r="464" spans="3:3" x14ac:dyDescent="0.25">
      <c r="C464" s="89"/>
    </row>
    <row r="465" spans="3:3" x14ac:dyDescent="0.25">
      <c r="C465" s="89"/>
    </row>
    <row r="466" spans="3:3" x14ac:dyDescent="0.25">
      <c r="C466" s="89"/>
    </row>
    <row r="467" spans="3:3" x14ac:dyDescent="0.25">
      <c r="C467" s="89"/>
    </row>
    <row r="468" spans="3:3" x14ac:dyDescent="0.25">
      <c r="C468" s="89"/>
    </row>
    <row r="469" spans="3:3" x14ac:dyDescent="0.25">
      <c r="C469" s="89"/>
    </row>
    <row r="470" spans="3:3" x14ac:dyDescent="0.25">
      <c r="C470" s="89"/>
    </row>
    <row r="471" spans="3:3" x14ac:dyDescent="0.25">
      <c r="C471" s="89"/>
    </row>
    <row r="472" spans="3:3" x14ac:dyDescent="0.25">
      <c r="C472" s="89"/>
    </row>
    <row r="473" spans="3:3" x14ac:dyDescent="0.25">
      <c r="C473" s="89"/>
    </row>
    <row r="474" spans="3:3" x14ac:dyDescent="0.25">
      <c r="C474" s="89"/>
    </row>
    <row r="475" spans="3:3" x14ac:dyDescent="0.25">
      <c r="C475" s="89"/>
    </row>
    <row r="476" spans="3:3" x14ac:dyDescent="0.25">
      <c r="C476" s="89"/>
    </row>
    <row r="477" spans="3:3" x14ac:dyDescent="0.25">
      <c r="C477" s="89"/>
    </row>
    <row r="478" spans="3:3" x14ac:dyDescent="0.25">
      <c r="C478" s="89"/>
    </row>
    <row r="479" spans="3:3" x14ac:dyDescent="0.25">
      <c r="C479" s="89"/>
    </row>
    <row r="480" spans="3:3" x14ac:dyDescent="0.25">
      <c r="C480" s="89"/>
    </row>
    <row r="481" spans="3:3" x14ac:dyDescent="0.25">
      <c r="C481" s="89"/>
    </row>
    <row r="482" spans="3:3" x14ac:dyDescent="0.25">
      <c r="C482" s="89"/>
    </row>
    <row r="483" spans="3:3" x14ac:dyDescent="0.25">
      <c r="C483" s="89"/>
    </row>
    <row r="484" spans="3:3" x14ac:dyDescent="0.25">
      <c r="C484" s="89"/>
    </row>
    <row r="485" spans="3:3" x14ac:dyDescent="0.25">
      <c r="C485" s="89"/>
    </row>
    <row r="486" spans="3:3" x14ac:dyDescent="0.25">
      <c r="C486" s="89"/>
    </row>
    <row r="487" spans="3:3" x14ac:dyDescent="0.25">
      <c r="C487" s="89"/>
    </row>
    <row r="488" spans="3:3" x14ac:dyDescent="0.25">
      <c r="C488" s="89"/>
    </row>
    <row r="489" spans="3:3" x14ac:dyDescent="0.25">
      <c r="C489" s="89"/>
    </row>
    <row r="490" spans="3:3" x14ac:dyDescent="0.25">
      <c r="C490" s="89"/>
    </row>
    <row r="491" spans="3:3" x14ac:dyDescent="0.25">
      <c r="C491" s="89"/>
    </row>
    <row r="492" spans="3:3" x14ac:dyDescent="0.25">
      <c r="C492" s="89"/>
    </row>
    <row r="493" spans="3:3" x14ac:dyDescent="0.25">
      <c r="C493" s="89"/>
    </row>
    <row r="494" spans="3:3" x14ac:dyDescent="0.25">
      <c r="C494" s="89"/>
    </row>
    <row r="495" spans="3:3" x14ac:dyDescent="0.25">
      <c r="C495" s="89"/>
    </row>
    <row r="496" spans="3:3" x14ac:dyDescent="0.25">
      <c r="C496" s="89"/>
    </row>
    <row r="497" spans="3:3" x14ac:dyDescent="0.25">
      <c r="C497" s="89"/>
    </row>
    <row r="498" spans="3:3" x14ac:dyDescent="0.25">
      <c r="C498" s="89"/>
    </row>
    <row r="499" spans="3:3" x14ac:dyDescent="0.25">
      <c r="C499" s="89"/>
    </row>
    <row r="500" spans="3:3" x14ac:dyDescent="0.25">
      <c r="C500" s="89"/>
    </row>
    <row r="501" spans="3:3" x14ac:dyDescent="0.25">
      <c r="C501" s="89"/>
    </row>
    <row r="502" spans="3:3" x14ac:dyDescent="0.25">
      <c r="C502" s="89"/>
    </row>
    <row r="503" spans="3:3" x14ac:dyDescent="0.25">
      <c r="C503" s="89"/>
    </row>
    <row r="504" spans="3:3" x14ac:dyDescent="0.25">
      <c r="C504" s="89"/>
    </row>
    <row r="505" spans="3:3" x14ac:dyDescent="0.25">
      <c r="C505" s="89"/>
    </row>
    <row r="506" spans="3:3" x14ac:dyDescent="0.25">
      <c r="C506" s="89"/>
    </row>
    <row r="507" spans="3:3" x14ac:dyDescent="0.25">
      <c r="C507" s="89"/>
    </row>
    <row r="508" spans="3:3" x14ac:dyDescent="0.25">
      <c r="C508" s="89"/>
    </row>
    <row r="509" spans="3:3" x14ac:dyDescent="0.25">
      <c r="C509" s="89"/>
    </row>
    <row r="510" spans="3:3" x14ac:dyDescent="0.25">
      <c r="C510" s="89"/>
    </row>
    <row r="511" spans="3:3" x14ac:dyDescent="0.25">
      <c r="C511" s="89"/>
    </row>
    <row r="512" spans="3:3" x14ac:dyDescent="0.25">
      <c r="C512" s="89"/>
    </row>
    <row r="513" spans="3:3" x14ac:dyDescent="0.25">
      <c r="C513" s="89"/>
    </row>
    <row r="514" spans="3:3" x14ac:dyDescent="0.25">
      <c r="C514" s="89"/>
    </row>
    <row r="515" spans="3:3" x14ac:dyDescent="0.25">
      <c r="C515" s="89"/>
    </row>
    <row r="516" spans="3:3" x14ac:dyDescent="0.25">
      <c r="C516" s="89"/>
    </row>
    <row r="517" spans="3:3" x14ac:dyDescent="0.25">
      <c r="C517" s="89"/>
    </row>
    <row r="518" spans="3:3" x14ac:dyDescent="0.25">
      <c r="C518" s="89"/>
    </row>
    <row r="519" spans="3:3" x14ac:dyDescent="0.25">
      <c r="C519" s="89"/>
    </row>
    <row r="520" spans="3:3" x14ac:dyDescent="0.25">
      <c r="C520" s="89"/>
    </row>
    <row r="521" spans="3:3" x14ac:dyDescent="0.25">
      <c r="C521" s="89"/>
    </row>
    <row r="522" spans="3:3" x14ac:dyDescent="0.25">
      <c r="C522" s="89"/>
    </row>
    <row r="523" spans="3:3" x14ac:dyDescent="0.25">
      <c r="C523" s="89"/>
    </row>
    <row r="524" spans="3:3" x14ac:dyDescent="0.25">
      <c r="C524" s="89"/>
    </row>
    <row r="525" spans="3:3" x14ac:dyDescent="0.25">
      <c r="C525" s="89"/>
    </row>
    <row r="526" spans="3:3" x14ac:dyDescent="0.25">
      <c r="C526" s="89"/>
    </row>
    <row r="527" spans="3:3" x14ac:dyDescent="0.25">
      <c r="C527" s="89"/>
    </row>
    <row r="528" spans="3:3" x14ac:dyDescent="0.25">
      <c r="C528" s="89"/>
    </row>
    <row r="529" spans="3:3" x14ac:dyDescent="0.25">
      <c r="C529" s="89"/>
    </row>
    <row r="530" spans="3:3" x14ac:dyDescent="0.25">
      <c r="C530" s="89"/>
    </row>
  </sheetData>
  <mergeCells count="3">
    <mergeCell ref="F10:H10"/>
    <mergeCell ref="I10:K10"/>
    <mergeCell ref="N10:P10"/>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A2" sqref="A2:A13"/>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3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150"/>
      <c r="W1" s="143" t="s">
        <v>79</v>
      </c>
      <c r="X1" s="144" t="s">
        <v>80</v>
      </c>
      <c r="Y1" s="144" t="s">
        <v>81</v>
      </c>
      <c r="Z1" s="144" t="s">
        <v>82</v>
      </c>
      <c r="AA1" s="145" t="s">
        <v>94</v>
      </c>
      <c r="AB1" s="146" t="s">
        <v>95</v>
      </c>
    </row>
    <row r="2" spans="1:28" ht="21" x14ac:dyDescent="0.25">
      <c r="A2" s="52"/>
      <c r="B2"/>
      <c r="G2" s="55"/>
      <c r="H2" s="58" t="s">
        <v>196</v>
      </c>
      <c r="V2" s="149" t="s">
        <v>195</v>
      </c>
      <c r="W2" s="151">
        <v>6250335</v>
      </c>
      <c r="X2" s="147" t="s">
        <v>86</v>
      </c>
      <c r="Y2" s="147">
        <v>7</v>
      </c>
      <c r="Z2" s="147">
        <v>0.25</v>
      </c>
      <c r="AA2" s="147" t="s">
        <v>91</v>
      </c>
      <c r="AB2" s="148">
        <v>1</v>
      </c>
    </row>
    <row r="3" spans="1:28" x14ac:dyDescent="0.25">
      <c r="A3" s="52"/>
      <c r="B3"/>
      <c r="G3" s="55"/>
    </row>
    <row r="4" spans="1:28" x14ac:dyDescent="0.25">
      <c r="A4" s="52"/>
      <c r="B4"/>
      <c r="G4" s="55"/>
    </row>
    <row r="5" spans="1:28" x14ac:dyDescent="0.25">
      <c r="A5" s="52"/>
      <c r="B5"/>
      <c r="G5" s="55"/>
    </row>
    <row r="6" spans="1:28" x14ac:dyDescent="0.25">
      <c r="A6" s="141"/>
      <c r="B6"/>
      <c r="G6" s="55"/>
    </row>
    <row r="7" spans="1:28" x14ac:dyDescent="0.25">
      <c r="A7" s="52"/>
      <c r="B7"/>
      <c r="G7" s="55"/>
    </row>
    <row r="8" spans="1:28" x14ac:dyDescent="0.25">
      <c r="A8" s="52"/>
      <c r="B8"/>
      <c r="G8" s="55"/>
    </row>
    <row r="9" spans="1:28" x14ac:dyDescent="0.25">
      <c r="A9" s="52"/>
      <c r="B9"/>
      <c r="G9" s="55"/>
    </row>
    <row r="10" spans="1:28" x14ac:dyDescent="0.25">
      <c r="A10" s="141"/>
      <c r="B10"/>
      <c r="G10" s="55"/>
    </row>
    <row r="11" spans="1:28" x14ac:dyDescent="0.25">
      <c r="A11" s="141"/>
      <c r="B11"/>
      <c r="G11" s="55"/>
    </row>
    <row r="12" spans="1:28" x14ac:dyDescent="0.25">
      <c r="A12" s="52"/>
      <c r="B12"/>
      <c r="G12" s="55"/>
    </row>
    <row r="13" spans="1:28" x14ac:dyDescent="0.25">
      <c r="A13" s="52"/>
      <c r="B13"/>
      <c r="G13" s="55"/>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85"/>
      <c r="C211" s="86"/>
      <c r="D211" s="86"/>
      <c r="E211" s="86"/>
      <c r="F211" s="86"/>
      <c r="G211" s="87"/>
    </row>
    <row r="212" spans="1:7" x14ac:dyDescent="0.25">
      <c r="A212" s="9"/>
      <c r="B212" s="10"/>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C2:C211 X2</xm:sqref>
        </x14:dataValidation>
        <x14:dataValidation type="list" allowBlank="1" showInputMessage="1" showErrorMessage="1" xr:uid="{F9D3FFDC-CF97-496D-9870-98E5A2DD14AD}">
          <x14:formula1>
            <xm:f>DATA!$C$2:$C$5</xm:f>
          </x14:formula1>
          <xm:sqref>F2:F211 AA2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E27" sqref="E27"/>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70"/>
      <c r="E2" s="160"/>
      <c r="F2" s="70"/>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142"/>
      <c r="D3" s="152"/>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72"/>
      <c r="C4" s="62"/>
      <c r="D4" s="76"/>
      <c r="E4" s="75"/>
      <c r="F4" s="76"/>
      <c r="G4" s="75"/>
      <c r="H4" s="76"/>
      <c r="I4" s="75"/>
      <c r="J4" s="76"/>
      <c r="K4" s="75"/>
      <c r="L4" s="76"/>
      <c r="M4" s="75"/>
      <c r="N4" s="76"/>
      <c r="O4" s="75"/>
      <c r="P4" s="76"/>
      <c r="Q4" s="75"/>
      <c r="R4" s="76"/>
      <c r="S4" s="75"/>
      <c r="T4" s="76"/>
      <c r="U4" s="75"/>
      <c r="V4" s="76"/>
      <c r="W4" s="6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64"/>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6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64"/>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156"/>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J1" workbookViewId="0">
      <selection activeCell="P15" sqref="P15"/>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54" t="s">
        <v>167</v>
      </c>
      <c r="X1" s="153" t="s">
        <v>164</v>
      </c>
      <c r="Y1" s="153" t="s">
        <v>165</v>
      </c>
      <c r="Z1" s="153" t="s">
        <v>194</v>
      </c>
      <c r="AB1" s="154" t="s">
        <v>241</v>
      </c>
      <c r="AC1" s="11" t="s">
        <v>164</v>
      </c>
      <c r="AD1" s="11" t="s">
        <v>165</v>
      </c>
      <c r="AE1" s="153" t="s">
        <v>194</v>
      </c>
    </row>
    <row r="2" spans="1:31" x14ac:dyDescent="0.25">
      <c r="A2" s="39" t="s">
        <v>86</v>
      </c>
      <c r="B2" s="4">
        <v>8</v>
      </c>
      <c r="C2" s="39" t="s">
        <v>90</v>
      </c>
      <c r="D2" s="4">
        <v>1</v>
      </c>
      <c r="F2" s="13" t="s">
        <v>2</v>
      </c>
      <c r="H2" s="4"/>
      <c r="K2" s="14" t="s">
        <v>54</v>
      </c>
      <c r="L2" s="15">
        <v>2</v>
      </c>
      <c r="N2" s="13" t="s">
        <v>64</v>
      </c>
      <c r="O2" s="39" t="s">
        <v>67</v>
      </c>
      <c r="P2" s="3" t="s">
        <v>336</v>
      </c>
      <c r="Q2" s="3" t="s">
        <v>103</v>
      </c>
      <c r="R2" s="46" t="s">
        <v>111</v>
      </c>
      <c r="S2" s="39" t="s">
        <v>70</v>
      </c>
      <c r="T2" s="3" t="s">
        <v>99</v>
      </c>
      <c r="U2" s="3" t="s">
        <v>101</v>
      </c>
      <c r="W2" s="155" t="s">
        <v>168</v>
      </c>
      <c r="AB2" s="39" t="s">
        <v>168</v>
      </c>
    </row>
    <row r="3" spans="1:31" x14ac:dyDescent="0.25">
      <c r="A3" s="39" t="s">
        <v>87</v>
      </c>
      <c r="B3" s="4">
        <v>2</v>
      </c>
      <c r="C3" s="39" t="s">
        <v>93</v>
      </c>
      <c r="D3" s="4">
        <v>11</v>
      </c>
      <c r="F3" s="13" t="s">
        <v>3</v>
      </c>
      <c r="H3" s="4"/>
      <c r="K3" s="14" t="s">
        <v>53</v>
      </c>
      <c r="L3" s="15" t="s">
        <v>70</v>
      </c>
      <c r="N3" s="13" t="s">
        <v>339</v>
      </c>
      <c r="O3" s="39" t="s">
        <v>242</v>
      </c>
      <c r="P3" s="3" t="s">
        <v>338</v>
      </c>
      <c r="Q3" s="3" t="s">
        <v>337</v>
      </c>
      <c r="R3" s="46" t="s">
        <v>110</v>
      </c>
      <c r="S3" s="39" t="s">
        <v>72</v>
      </c>
      <c r="T3" s="3" t="s">
        <v>100</v>
      </c>
      <c r="U3" s="3" t="s">
        <v>102</v>
      </c>
      <c r="W3" s="155" t="s">
        <v>176</v>
      </c>
      <c r="X3" s="3" t="s">
        <v>177</v>
      </c>
      <c r="Y3" s="14" t="s">
        <v>191</v>
      </c>
      <c r="Z3" s="14" t="s">
        <v>197</v>
      </c>
      <c r="AB3" s="39" t="s">
        <v>313</v>
      </c>
      <c r="AC3" s="3" t="s">
        <v>243</v>
      </c>
      <c r="AD3" s="14" t="s">
        <v>244</v>
      </c>
      <c r="AE3" s="14" t="s">
        <v>312</v>
      </c>
    </row>
    <row r="4" spans="1:31" x14ac:dyDescent="0.25">
      <c r="A4" s="39" t="s">
        <v>88</v>
      </c>
      <c r="B4" s="4">
        <v>1</v>
      </c>
      <c r="C4" s="39" t="s">
        <v>91</v>
      </c>
      <c r="D4" s="4">
        <v>10</v>
      </c>
      <c r="F4" s="13" t="s">
        <v>4</v>
      </c>
      <c r="H4" s="4"/>
      <c r="K4" s="14" t="s">
        <v>52</v>
      </c>
      <c r="L4" s="15">
        <v>75</v>
      </c>
      <c r="M4" s="3" t="s">
        <v>48</v>
      </c>
      <c r="N4" s="13" t="s">
        <v>65</v>
      </c>
      <c r="O4" s="39" t="s">
        <v>68</v>
      </c>
      <c r="P4" s="3" t="s">
        <v>340</v>
      </c>
      <c r="Q4" s="3" t="s">
        <v>106</v>
      </c>
      <c r="W4" s="155" t="s">
        <v>169</v>
      </c>
      <c r="X4" s="3" t="s">
        <v>166</v>
      </c>
      <c r="Y4" s="14" t="s">
        <v>182</v>
      </c>
      <c r="Z4" s="14" t="s">
        <v>198</v>
      </c>
      <c r="AB4" s="39" t="s">
        <v>323</v>
      </c>
      <c r="AC4" s="3" t="s">
        <v>272</v>
      </c>
      <c r="AD4" s="14" t="s">
        <v>273</v>
      </c>
      <c r="AE4" s="14" t="s">
        <v>274</v>
      </c>
    </row>
    <row r="5" spans="1:31" x14ac:dyDescent="0.25">
      <c r="A5" s="39" t="s">
        <v>89</v>
      </c>
      <c r="B5" s="4">
        <v>3</v>
      </c>
      <c r="C5" s="39" t="s">
        <v>92</v>
      </c>
      <c r="D5" s="4">
        <v>4</v>
      </c>
      <c r="F5" s="13" t="s">
        <v>5</v>
      </c>
      <c r="H5" s="4"/>
      <c r="K5" s="14" t="s">
        <v>51</v>
      </c>
      <c r="L5" s="15">
        <v>0</v>
      </c>
      <c r="N5" s="46" t="s">
        <v>159</v>
      </c>
      <c r="O5" s="39" t="s">
        <v>155</v>
      </c>
      <c r="P5" s="3" t="s">
        <v>341</v>
      </c>
      <c r="Q5" s="3" t="s">
        <v>161</v>
      </c>
      <c r="W5" s="155" t="s">
        <v>175</v>
      </c>
      <c r="X5" s="3" t="s">
        <v>178</v>
      </c>
      <c r="Y5" s="14" t="s">
        <v>183</v>
      </c>
      <c r="Z5" s="14" t="s">
        <v>198</v>
      </c>
      <c r="AB5" s="39" t="s">
        <v>314</v>
      </c>
      <c r="AC5" s="3" t="s">
        <v>245</v>
      </c>
      <c r="AD5" s="14" t="s">
        <v>246</v>
      </c>
      <c r="AE5" s="14" t="s">
        <v>250</v>
      </c>
    </row>
    <row r="6" spans="1:31" x14ac:dyDescent="0.25">
      <c r="H6" s="4"/>
      <c r="K6" s="14" t="s">
        <v>50</v>
      </c>
      <c r="L6" s="15" t="s">
        <v>162</v>
      </c>
      <c r="N6" s="46" t="s">
        <v>66</v>
      </c>
      <c r="O6" s="39" t="s">
        <v>69</v>
      </c>
      <c r="P6" s="3" t="s">
        <v>342</v>
      </c>
      <c r="Q6" s="3" t="s">
        <v>160</v>
      </c>
      <c r="W6" s="155" t="s">
        <v>170</v>
      </c>
      <c r="X6" s="3" t="s">
        <v>179</v>
      </c>
      <c r="Y6" s="14" t="s">
        <v>184</v>
      </c>
      <c r="AB6" s="39" t="s">
        <v>247</v>
      </c>
      <c r="AC6" s="3" t="s">
        <v>248</v>
      </c>
      <c r="AD6" s="14" t="s">
        <v>249</v>
      </c>
      <c r="AE6" s="14" t="s">
        <v>250</v>
      </c>
    </row>
    <row r="7" spans="1:31" x14ac:dyDescent="0.25">
      <c r="H7" s="4"/>
      <c r="K7" s="14" t="s">
        <v>75</v>
      </c>
      <c r="L7" s="15" t="b">
        <v>1</v>
      </c>
      <c r="N7" s="46" t="s">
        <v>163</v>
      </c>
      <c r="O7" s="39" t="s">
        <v>162</v>
      </c>
      <c r="P7" s="3" t="s">
        <v>343</v>
      </c>
      <c r="Q7" s="3" t="s">
        <v>237</v>
      </c>
      <c r="W7" s="155" t="s">
        <v>171</v>
      </c>
      <c r="X7" s="3" t="s">
        <v>180</v>
      </c>
      <c r="Y7" s="14" t="s">
        <v>185</v>
      </c>
      <c r="AB7" s="39" t="s">
        <v>315</v>
      </c>
      <c r="AC7" s="3" t="s">
        <v>251</v>
      </c>
      <c r="AD7" s="14" t="s">
        <v>252</v>
      </c>
      <c r="AE7" s="14" t="s">
        <v>253</v>
      </c>
    </row>
    <row r="8" spans="1:31" x14ac:dyDescent="0.25">
      <c r="H8" s="4"/>
      <c r="K8" s="14" t="s">
        <v>76</v>
      </c>
      <c r="L8" s="15" t="b">
        <v>1</v>
      </c>
      <c r="W8" s="155" t="s">
        <v>172</v>
      </c>
      <c r="X8" s="3" t="s">
        <v>181</v>
      </c>
      <c r="Y8" s="14" t="s">
        <v>186</v>
      </c>
      <c r="AB8" s="39" t="s">
        <v>316</v>
      </c>
      <c r="AC8" s="3" t="s">
        <v>254</v>
      </c>
      <c r="AD8" s="14" t="s">
        <v>255</v>
      </c>
      <c r="AE8" s="14" t="s">
        <v>256</v>
      </c>
    </row>
    <row r="9" spans="1:31" x14ac:dyDescent="0.25">
      <c r="H9" s="4"/>
      <c r="K9" s="14" t="s">
        <v>77</v>
      </c>
      <c r="L9" s="15">
        <v>150000</v>
      </c>
      <c r="W9" s="155" t="s">
        <v>173</v>
      </c>
      <c r="X9" s="3" t="s">
        <v>188</v>
      </c>
      <c r="Y9" s="14" t="s">
        <v>187</v>
      </c>
      <c r="AB9" s="39" t="s">
        <v>317</v>
      </c>
      <c r="AC9" s="3" t="s">
        <v>257</v>
      </c>
      <c r="AD9" s="14" t="s">
        <v>258</v>
      </c>
      <c r="AE9" s="14" t="s">
        <v>256</v>
      </c>
    </row>
    <row r="10" spans="1:31" x14ac:dyDescent="0.25">
      <c r="H10" s="4"/>
      <c r="K10" s="14" t="s">
        <v>83</v>
      </c>
      <c r="L10" s="15" t="b">
        <v>0</v>
      </c>
      <c r="W10" s="155" t="s">
        <v>174</v>
      </c>
      <c r="X10" s="3" t="s">
        <v>189</v>
      </c>
      <c r="Y10" s="14" t="s">
        <v>190</v>
      </c>
      <c r="AB10" s="39" t="s">
        <v>318</v>
      </c>
      <c r="AC10" s="3" t="s">
        <v>259</v>
      </c>
      <c r="AD10" s="14" t="s">
        <v>260</v>
      </c>
      <c r="AE10" s="14" t="s">
        <v>261</v>
      </c>
    </row>
    <row r="11" spans="1:31" x14ac:dyDescent="0.25">
      <c r="H11" s="4"/>
      <c r="K11" s="14" t="s">
        <v>96</v>
      </c>
      <c r="L11" s="15" t="b">
        <v>1</v>
      </c>
      <c r="W11" s="155" t="s">
        <v>234</v>
      </c>
      <c r="X11" s="3" t="s">
        <v>208</v>
      </c>
      <c r="Y11" s="14" t="s">
        <v>209</v>
      </c>
      <c r="Z11" s="14" t="s">
        <v>199</v>
      </c>
      <c r="AB11" s="39" t="s">
        <v>319</v>
      </c>
      <c r="AC11" s="3" t="s">
        <v>262</v>
      </c>
      <c r="AD11" s="14" t="s">
        <v>263</v>
      </c>
      <c r="AE11" s="14" t="s">
        <v>264</v>
      </c>
    </row>
    <row r="12" spans="1:31" x14ac:dyDescent="0.25">
      <c r="H12" s="4"/>
      <c r="K12" s="14" t="s">
        <v>105</v>
      </c>
      <c r="L12" s="15" t="s">
        <v>193</v>
      </c>
      <c r="W12" s="155" t="s">
        <v>233</v>
      </c>
      <c r="X12" s="3" t="s">
        <v>210</v>
      </c>
      <c r="Y12" s="14" t="s">
        <v>211</v>
      </c>
      <c r="Z12" s="14" t="s">
        <v>200</v>
      </c>
      <c r="AB12" s="39" t="s">
        <v>320</v>
      </c>
      <c r="AC12" s="3" t="s">
        <v>265</v>
      </c>
      <c r="AD12" s="14" t="s">
        <v>266</v>
      </c>
      <c r="AE12" s="14" t="s">
        <v>264</v>
      </c>
    </row>
    <row r="13" spans="1:31" x14ac:dyDescent="0.25">
      <c r="H13" s="4"/>
      <c r="K13" s="14" t="s">
        <v>108</v>
      </c>
      <c r="L13" s="15" t="s">
        <v>109</v>
      </c>
      <c r="W13" s="155" t="s">
        <v>226</v>
      </c>
      <c r="X13" s="3" t="s">
        <v>223</v>
      </c>
      <c r="Y13" s="14" t="s">
        <v>222</v>
      </c>
      <c r="Z13" s="14" t="s">
        <v>201</v>
      </c>
      <c r="AB13" s="39" t="s">
        <v>321</v>
      </c>
      <c r="AC13" s="3" t="s">
        <v>267</v>
      </c>
      <c r="AD13" s="14" t="s">
        <v>268</v>
      </c>
      <c r="AE13" s="14" t="s">
        <v>231</v>
      </c>
    </row>
    <row r="14" spans="1:31" x14ac:dyDescent="0.25">
      <c r="H14" s="4"/>
      <c r="K14" s="14" t="s">
        <v>107</v>
      </c>
      <c r="L14" s="15" t="s">
        <v>154</v>
      </c>
      <c r="W14" s="155" t="s">
        <v>232</v>
      </c>
      <c r="X14" s="3" t="s">
        <v>230</v>
      </c>
      <c r="Y14" s="14" t="s">
        <v>236</v>
      </c>
      <c r="Z14" s="14" t="s">
        <v>231</v>
      </c>
      <c r="AB14" s="39" t="s">
        <v>322</v>
      </c>
      <c r="AC14" s="3" t="s">
        <v>269</v>
      </c>
      <c r="AD14" s="14" t="s">
        <v>270</v>
      </c>
      <c r="AE14" s="14" t="s">
        <v>271</v>
      </c>
    </row>
    <row r="15" spans="1:31" x14ac:dyDescent="0.25">
      <c r="H15" s="4"/>
      <c r="K15" s="14" t="s">
        <v>137</v>
      </c>
      <c r="L15" s="15">
        <v>12</v>
      </c>
      <c r="W15" s="155" t="s">
        <v>202</v>
      </c>
      <c r="X15" s="3" t="s">
        <v>224</v>
      </c>
      <c r="Y15" s="14" t="s">
        <v>225</v>
      </c>
      <c r="AB15" s="39" t="s">
        <v>324</v>
      </c>
      <c r="AC15" s="3" t="s">
        <v>275</v>
      </c>
      <c r="AD15" s="14" t="s">
        <v>276</v>
      </c>
      <c r="AE15" s="14" t="s">
        <v>277</v>
      </c>
    </row>
    <row r="16" spans="1:31" x14ac:dyDescent="0.25">
      <c r="H16" s="4"/>
      <c r="K16" s="14" t="s">
        <v>153</v>
      </c>
      <c r="L16" s="15"/>
      <c r="W16" s="155" t="s">
        <v>229</v>
      </c>
      <c r="X16" s="3" t="s">
        <v>212</v>
      </c>
      <c r="Y16" s="14" t="s">
        <v>213</v>
      </c>
      <c r="Z16" s="14" t="s">
        <v>203</v>
      </c>
      <c r="AB16" s="39" t="s">
        <v>325</v>
      </c>
      <c r="AC16" s="3" t="s">
        <v>278</v>
      </c>
      <c r="AD16" s="14" t="s">
        <v>279</v>
      </c>
      <c r="AE16" s="14" t="s">
        <v>280</v>
      </c>
    </row>
    <row r="17" spans="8:31" x14ac:dyDescent="0.25">
      <c r="H17" s="4"/>
      <c r="K17" s="14" t="s">
        <v>156</v>
      </c>
      <c r="L17" s="15">
        <v>250</v>
      </c>
      <c r="W17" s="155" t="s">
        <v>205</v>
      </c>
      <c r="X17" s="3" t="s">
        <v>214</v>
      </c>
      <c r="Y17" s="14" t="s">
        <v>215</v>
      </c>
      <c r="Z17" s="14" t="s">
        <v>204</v>
      </c>
      <c r="AB17" s="39" t="s">
        <v>326</v>
      </c>
      <c r="AC17" s="3" t="s">
        <v>281</v>
      </c>
      <c r="AD17" s="14" t="s">
        <v>282</v>
      </c>
      <c r="AE17" s="14" t="s">
        <v>280</v>
      </c>
    </row>
    <row r="18" spans="8:31" x14ac:dyDescent="0.25">
      <c r="H18" s="4"/>
      <c r="K18" s="14" t="s">
        <v>157</v>
      </c>
      <c r="L18" s="15">
        <v>600</v>
      </c>
      <c r="W18" s="155" t="s">
        <v>228</v>
      </c>
      <c r="X18" s="3" t="s">
        <v>216</v>
      </c>
      <c r="Y18" s="14" t="s">
        <v>217</v>
      </c>
      <c r="Z18" s="14" t="s">
        <v>206</v>
      </c>
      <c r="AB18" s="39" t="s">
        <v>327</v>
      </c>
      <c r="AC18" s="3" t="s">
        <v>283</v>
      </c>
      <c r="AD18" s="14" t="s">
        <v>284</v>
      </c>
      <c r="AE18" s="14" t="s">
        <v>285</v>
      </c>
    </row>
    <row r="19" spans="8:31" x14ac:dyDescent="0.25">
      <c r="H19" s="4"/>
      <c r="K19" s="14" t="s">
        <v>158</v>
      </c>
      <c r="L19" s="15" t="b">
        <v>1</v>
      </c>
      <c r="W19" s="155" t="s">
        <v>227</v>
      </c>
      <c r="X19" s="3" t="s">
        <v>218</v>
      </c>
      <c r="Y19" s="14" t="s">
        <v>219</v>
      </c>
      <c r="Z19" s="14" t="s">
        <v>207</v>
      </c>
      <c r="AB19" s="39" t="s">
        <v>328</v>
      </c>
      <c r="AC19" s="3" t="s">
        <v>286</v>
      </c>
      <c r="AD19" s="14" t="s">
        <v>287</v>
      </c>
      <c r="AE19" s="14" t="s">
        <v>285</v>
      </c>
    </row>
    <row r="20" spans="8:31" x14ac:dyDescent="0.25">
      <c r="H20" s="4"/>
      <c r="K20" s="14" t="s">
        <v>239</v>
      </c>
      <c r="L20" s="38" t="b">
        <v>0</v>
      </c>
      <c r="W20" s="155" t="s">
        <v>235</v>
      </c>
      <c r="X20" s="3" t="s">
        <v>220</v>
      </c>
      <c r="Y20" s="14" t="s">
        <v>221</v>
      </c>
      <c r="Z20" s="14" t="s">
        <v>207</v>
      </c>
      <c r="AB20" s="39" t="s">
        <v>288</v>
      </c>
      <c r="AC20" s="3" t="s">
        <v>289</v>
      </c>
      <c r="AD20" s="14" t="s">
        <v>290</v>
      </c>
      <c r="AE20" s="14" t="s">
        <v>291</v>
      </c>
    </row>
    <row r="21" spans="8:31" x14ac:dyDescent="0.25">
      <c r="H21" s="4"/>
      <c r="K21" s="14" t="s">
        <v>192</v>
      </c>
      <c r="L21" s="15" t="b">
        <v>1</v>
      </c>
      <c r="W21" s="155"/>
      <c r="AB21" s="39" t="s">
        <v>329</v>
      </c>
      <c r="AC21" s="3" t="s">
        <v>292</v>
      </c>
      <c r="AD21" s="14" t="s">
        <v>293</v>
      </c>
      <c r="AE21" s="14" t="s">
        <v>294</v>
      </c>
    </row>
    <row r="22" spans="8:31" x14ac:dyDescent="0.25">
      <c r="H22" s="4"/>
      <c r="K22" s="14" t="s">
        <v>240</v>
      </c>
      <c r="L22" s="38" t="b">
        <v>0</v>
      </c>
      <c r="W22" s="155"/>
      <c r="AB22" s="39" t="s">
        <v>330</v>
      </c>
      <c r="AC22" s="3" t="s">
        <v>295</v>
      </c>
      <c r="AD22" s="14" t="s">
        <v>296</v>
      </c>
      <c r="AE22" s="14" t="s">
        <v>294</v>
      </c>
    </row>
    <row r="23" spans="8:31" x14ac:dyDescent="0.25">
      <c r="H23" s="4"/>
      <c r="L23" s="15"/>
      <c r="W23" s="155"/>
      <c r="AB23" s="39" t="s">
        <v>331</v>
      </c>
      <c r="AC23" s="3" t="s">
        <v>297</v>
      </c>
      <c r="AD23" s="14" t="s">
        <v>298</v>
      </c>
      <c r="AE23" s="14" t="s">
        <v>294</v>
      </c>
    </row>
    <row r="24" spans="8:31" x14ac:dyDescent="0.25">
      <c r="H24" s="4"/>
      <c r="L24" s="15"/>
      <c r="W24" s="155"/>
      <c r="AB24" s="39" t="s">
        <v>332</v>
      </c>
      <c r="AC24" s="3" t="s">
        <v>299</v>
      </c>
      <c r="AD24" s="14" t="s">
        <v>300</v>
      </c>
      <c r="AE24" s="14" t="s">
        <v>294</v>
      </c>
    </row>
    <row r="25" spans="8:31" x14ac:dyDescent="0.25">
      <c r="H25" s="4"/>
      <c r="L25" s="15"/>
      <c r="W25" s="155"/>
      <c r="AB25" s="39" t="s">
        <v>334</v>
      </c>
      <c r="AC25" s="3" t="s">
        <v>301</v>
      </c>
      <c r="AD25" s="14" t="s">
        <v>302</v>
      </c>
      <c r="AE25" s="14" t="s">
        <v>303</v>
      </c>
    </row>
    <row r="26" spans="8:31" x14ac:dyDescent="0.25">
      <c r="H26" s="4"/>
      <c r="W26" s="155"/>
      <c r="AB26" s="39" t="s">
        <v>333</v>
      </c>
      <c r="AC26" s="3" t="s">
        <v>304</v>
      </c>
      <c r="AD26" s="14" t="s">
        <v>305</v>
      </c>
      <c r="AE26" s="14" t="s">
        <v>303</v>
      </c>
    </row>
    <row r="27" spans="8:31" x14ac:dyDescent="0.25">
      <c r="H27" s="4"/>
      <c r="W27" s="155"/>
      <c r="AB27" s="39" t="s">
        <v>335</v>
      </c>
      <c r="AC27" s="3" t="s">
        <v>306</v>
      </c>
      <c r="AD27" s="14" t="s">
        <v>307</v>
      </c>
      <c r="AE27" s="14" t="s">
        <v>303</v>
      </c>
    </row>
    <row r="28" spans="8:31" x14ac:dyDescent="0.25">
      <c r="H28" s="4"/>
      <c r="W28" s="155"/>
      <c r="AB28" s="39" t="s">
        <v>308</v>
      </c>
      <c r="AC28" s="3" t="s">
        <v>309</v>
      </c>
      <c r="AD28" s="14" t="s">
        <v>310</v>
      </c>
      <c r="AE28" s="14" t="s">
        <v>311</v>
      </c>
    </row>
    <row r="29" spans="8:31" x14ac:dyDescent="0.25">
      <c r="H29" s="4"/>
      <c r="W29" s="155"/>
      <c r="AB29" s="39"/>
    </row>
    <row r="30" spans="8:31" x14ac:dyDescent="0.25">
      <c r="H30" s="4"/>
      <c r="W30" s="155"/>
      <c r="AB30" s="39"/>
    </row>
    <row r="31" spans="8:31" x14ac:dyDescent="0.25">
      <c r="H31" s="4"/>
      <c r="W31" s="155"/>
      <c r="AB31" s="39"/>
    </row>
    <row r="32" spans="8:31" x14ac:dyDescent="0.25">
      <c r="H32" s="4"/>
      <c r="W32" s="155"/>
      <c r="AB32" s="39"/>
    </row>
    <row r="33" spans="8:28" x14ac:dyDescent="0.25">
      <c r="H33" s="4"/>
      <c r="W33" s="155"/>
      <c r="AB33" s="39"/>
    </row>
    <row r="34" spans="8:28" x14ac:dyDescent="0.25">
      <c r="H34" s="4"/>
      <c r="W34" s="155"/>
      <c r="AB34" s="39"/>
    </row>
    <row r="35" spans="8:28" x14ac:dyDescent="0.25">
      <c r="H35" s="4"/>
      <c r="W35" s="155"/>
      <c r="AB35" s="39"/>
    </row>
    <row r="36" spans="8:28" x14ac:dyDescent="0.25">
      <c r="H36" s="4"/>
      <c r="W36" s="155"/>
      <c r="AB36" s="39"/>
    </row>
    <row r="37" spans="8:28" x14ac:dyDescent="0.25">
      <c r="H37" s="4"/>
      <c r="W37" s="155"/>
      <c r="AB37" s="39"/>
    </row>
    <row r="38" spans="8:28" x14ac:dyDescent="0.25">
      <c r="H38" s="4"/>
      <c r="W38" s="155"/>
      <c r="AB38" s="39"/>
    </row>
    <row r="39" spans="8:28" x14ac:dyDescent="0.25">
      <c r="H39" s="4"/>
      <c r="W39" s="155"/>
      <c r="AB39" s="39"/>
    </row>
    <row r="40" spans="8:28" x14ac:dyDescent="0.25">
      <c r="H40" s="4"/>
      <c r="W40" s="155"/>
      <c r="AB40" s="39"/>
    </row>
    <row r="41" spans="8:28" x14ac:dyDescent="0.25">
      <c r="H41" s="4"/>
      <c r="W41" s="155"/>
      <c r="AB41" s="39"/>
    </row>
    <row r="42" spans="8:28" x14ac:dyDescent="0.25">
      <c r="H42" s="4"/>
      <c r="W42" s="155"/>
      <c r="AB42" s="39"/>
    </row>
    <row r="43" spans="8:28" x14ac:dyDescent="0.25">
      <c r="H43" s="4"/>
      <c r="W43" s="155"/>
      <c r="AB43" s="39"/>
    </row>
    <row r="44" spans="8:28" x14ac:dyDescent="0.25">
      <c r="H44" s="4"/>
      <c r="W44" s="155"/>
      <c r="AB44" s="39"/>
    </row>
    <row r="45" spans="8:28" x14ac:dyDescent="0.25">
      <c r="H45" s="4"/>
      <c r="W45" s="155"/>
      <c r="AB45" s="39"/>
    </row>
    <row r="46" spans="8:28" x14ac:dyDescent="0.25">
      <c r="H46" s="4"/>
      <c r="W46" s="155"/>
      <c r="AB46" s="39"/>
    </row>
    <row r="47" spans="8:28" x14ac:dyDescent="0.25">
      <c r="H47" s="4"/>
      <c r="W47" s="155"/>
      <c r="AB47" s="39"/>
    </row>
    <row r="48" spans="8:28" x14ac:dyDescent="0.25">
      <c r="H48" s="4"/>
      <c r="W48" s="155"/>
      <c r="AB48" s="39"/>
    </row>
    <row r="49" spans="8:28" x14ac:dyDescent="0.25">
      <c r="H49" s="4"/>
      <c r="W49" s="155"/>
      <c r="AB49" s="39"/>
    </row>
    <row r="50" spans="8:28" x14ac:dyDescent="0.25">
      <c r="H50" s="4"/>
      <c r="W50" s="155"/>
      <c r="AB50" s="39"/>
    </row>
    <row r="51" spans="8:28" x14ac:dyDescent="0.25">
      <c r="W51" s="155"/>
      <c r="AB51" s="39"/>
    </row>
    <row r="52" spans="8:28" x14ac:dyDescent="0.25">
      <c r="W52" s="155"/>
      <c r="AB52" s="39"/>
    </row>
    <row r="53" spans="8:28" x14ac:dyDescent="0.25">
      <c r="W53" s="155"/>
      <c r="AB53" s="39"/>
    </row>
    <row r="54" spans="8:28" x14ac:dyDescent="0.25">
      <c r="W54" s="155"/>
      <c r="AB54" s="39"/>
    </row>
    <row r="55" spans="8:28" x14ac:dyDescent="0.25">
      <c r="W55" s="155"/>
      <c r="AB55" s="39"/>
    </row>
    <row r="56" spans="8:28" x14ac:dyDescent="0.25">
      <c r="W56" s="155"/>
      <c r="AB56" s="39"/>
    </row>
    <row r="57" spans="8:28" x14ac:dyDescent="0.25">
      <c r="W57" s="155"/>
      <c r="AB57" s="39"/>
    </row>
    <row r="58" spans="8:28" x14ac:dyDescent="0.25">
      <c r="W58" s="155"/>
      <c r="AB58" s="39"/>
    </row>
    <row r="59" spans="8:28" x14ac:dyDescent="0.25">
      <c r="W59" s="155"/>
      <c r="AB59" s="39"/>
    </row>
    <row r="60" spans="8:28" x14ac:dyDescent="0.25">
      <c r="W60" s="155"/>
      <c r="AB60" s="39"/>
    </row>
    <row r="61" spans="8:28" x14ac:dyDescent="0.25">
      <c r="W61" s="155"/>
      <c r="AB61" s="39"/>
    </row>
    <row r="62" spans="8:28" x14ac:dyDescent="0.25">
      <c r="W62" s="155"/>
      <c r="AB62" s="39"/>
    </row>
    <row r="63" spans="8:28" x14ac:dyDescent="0.25">
      <c r="W63" s="155"/>
      <c r="AB63" s="39"/>
    </row>
    <row r="64" spans="8:28" x14ac:dyDescent="0.25">
      <c r="W64" s="155"/>
      <c r="AB64" s="39"/>
    </row>
    <row r="65" spans="23:28" x14ac:dyDescent="0.25">
      <c r="W65" s="155"/>
      <c r="AB65" s="39"/>
    </row>
    <row r="66" spans="23:28" x14ac:dyDescent="0.25">
      <c r="W66" s="155"/>
      <c r="AB66" s="39"/>
    </row>
    <row r="67" spans="23:28" x14ac:dyDescent="0.25">
      <c r="W67" s="155"/>
      <c r="AB67" s="39"/>
    </row>
    <row r="68" spans="23:28" x14ac:dyDescent="0.25">
      <c r="W68" s="155"/>
      <c r="AB68" s="39"/>
    </row>
    <row r="69" spans="23:28" x14ac:dyDescent="0.25">
      <c r="W69" s="155"/>
      <c r="AB69" s="39"/>
    </row>
    <row r="70" spans="23:28" x14ac:dyDescent="0.25">
      <c r="W70" s="155"/>
      <c r="AB70" s="39"/>
    </row>
    <row r="71" spans="23:28" x14ac:dyDescent="0.25">
      <c r="W71" s="155"/>
      <c r="AB71" s="39"/>
    </row>
    <row r="72" spans="23:28" x14ac:dyDescent="0.25">
      <c r="W72" s="155"/>
      <c r="AB72" s="39"/>
    </row>
    <row r="73" spans="23:28" x14ac:dyDescent="0.25">
      <c r="W73" s="155"/>
      <c r="AB73" s="39"/>
    </row>
    <row r="74" spans="23:28" x14ac:dyDescent="0.25">
      <c r="W74" s="155"/>
      <c r="AB74" s="39"/>
    </row>
    <row r="75" spans="23:28" x14ac:dyDescent="0.25">
      <c r="W75" s="155"/>
      <c r="AB75" s="39"/>
    </row>
    <row r="76" spans="23:28" x14ac:dyDescent="0.25">
      <c r="W76" s="155"/>
      <c r="AB76" s="39"/>
    </row>
    <row r="77" spans="23:28" x14ac:dyDescent="0.25">
      <c r="W77" s="155"/>
      <c r="AB77" s="39"/>
    </row>
    <row r="78" spans="23:28" x14ac:dyDescent="0.25">
      <c r="W78" s="155"/>
      <c r="AB78" s="39"/>
    </row>
    <row r="79" spans="23:28" x14ac:dyDescent="0.25">
      <c r="W79" s="155"/>
      <c r="AB79" s="39"/>
    </row>
    <row r="80" spans="23:28" x14ac:dyDescent="0.25">
      <c r="W80" s="155"/>
      <c r="AB80" s="39"/>
    </row>
    <row r="81" spans="23:28" x14ac:dyDescent="0.25">
      <c r="W81" s="155"/>
      <c r="AB81" s="39"/>
    </row>
    <row r="82" spans="23:28" x14ac:dyDescent="0.25">
      <c r="W82" s="155"/>
      <c r="AB82" s="39"/>
    </row>
    <row r="83" spans="23:28" x14ac:dyDescent="0.25">
      <c r="W83" s="155"/>
      <c r="AB83" s="39"/>
    </row>
    <row r="84" spans="23:28" x14ac:dyDescent="0.25">
      <c r="W84" s="155"/>
      <c r="AB84" s="39"/>
    </row>
    <row r="85" spans="23:28" x14ac:dyDescent="0.25">
      <c r="W85" s="155"/>
      <c r="AB85" s="39"/>
    </row>
    <row r="86" spans="23:28" x14ac:dyDescent="0.25">
      <c r="W86" s="155"/>
      <c r="AB86" s="39"/>
    </row>
    <row r="87" spans="23:28" x14ac:dyDescent="0.25">
      <c r="W87" s="155"/>
      <c r="AB87" s="39"/>
    </row>
    <row r="88" spans="23:28" x14ac:dyDescent="0.25">
      <c r="W88" s="155"/>
      <c r="AB88" s="39"/>
    </row>
    <row r="89" spans="23:28" x14ac:dyDescent="0.25">
      <c r="W89" s="155"/>
      <c r="AB89" s="39"/>
    </row>
    <row r="90" spans="23:28" x14ac:dyDescent="0.25">
      <c r="W90" s="155"/>
      <c r="AB90" s="39"/>
    </row>
    <row r="91" spans="23:28" x14ac:dyDescent="0.25">
      <c r="W91" s="155"/>
      <c r="AB91" s="39"/>
    </row>
    <row r="92" spans="23:28" x14ac:dyDescent="0.25">
      <c r="W92" s="155"/>
      <c r="AB92" s="39"/>
    </row>
    <row r="93" spans="23:28" x14ac:dyDescent="0.25">
      <c r="W93" s="155"/>
      <c r="AB93" s="39"/>
    </row>
    <row r="94" spans="23:28" x14ac:dyDescent="0.25">
      <c r="W94" s="155"/>
      <c r="AB94" s="39"/>
    </row>
    <row r="95" spans="23:28" x14ac:dyDescent="0.25">
      <c r="W95" s="155"/>
      <c r="AB95" s="39"/>
    </row>
    <row r="96" spans="23:28" x14ac:dyDescent="0.25">
      <c r="W96" s="155"/>
      <c r="AB96" s="39"/>
    </row>
    <row r="97" spans="23:28" x14ac:dyDescent="0.25">
      <c r="W97" s="155"/>
      <c r="AB97" s="39"/>
    </row>
    <row r="98" spans="23:28" x14ac:dyDescent="0.25">
      <c r="W98" s="155"/>
      <c r="AB98" s="39"/>
    </row>
    <row r="99" spans="23:28" x14ac:dyDescent="0.25">
      <c r="W99" s="155"/>
      <c r="AB99" s="39"/>
    </row>
    <row r="100" spans="23:28" x14ac:dyDescent="0.25">
      <c r="W100" s="155"/>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67"/>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238</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button id="clean_data" size="large" label="Clear Data" imageMso="TableDeleteRowsAndColumnsMenuWord" onAction="OnActionButton" visible="true"/>
          <button id="change_point" size="normal" label="Change to number" onAction="OnActionButton" visible="true" screentip="Automatically change data from 'text' to 'number' for excel" supertip="Use this if you import data from .csv, .txt . . . "/>
          <button id="add_start" size="normal" label="Row Start" imageMso="EquationMatrixInsertRowAfter" onAction="OnActionButton" visible="true" screentip="Select the row before the header row" supertip="Use this if you want  or have informations above the data (see 'Working template' for an example)"/>
          <button id="recuptab" size="normal"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button id="graph_stat" size="normal" label="Density Plotter" imageMso="ChartTypeAllInsertDialog" onAction="OnActionButton" visible="true" screentip="Use DensityPlotter from P. Vermeeshc with a data set" supertip="To use this, select a data set (value and error) and then click on the button. This produce an automatic import of the KDE results on excel, or just input data in DensityPlotter for user."/>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clean_mem" size="large" label="Clear series layout" imageMso="TableEraser" onAction="OnActionButton" visible="tru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Normal law</vt:lpstr>
      <vt:lpstr>Layout</vt:lpstr>
      <vt:lpstr>Graphics list</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2023-04-22T17:42:11Z</dcterms:modified>
</cp:coreProperties>
</file>