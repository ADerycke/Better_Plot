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d6473569c8a414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72451271-21F0-4886-B301-DA04A9613777}"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<sst xmlns="http://schemas.openxmlformats.org/spreadsheetml/2006/main" count="1234" uniqueCount="656">
  <si>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</si>
  <si>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</si>
  <si>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</si>
  <si>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</si>
  <si>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</si>
  <si>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</si>
  <si>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</si>
  <si>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</si>
  <si>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</si>
  <si>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</si>
  <si>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</si>
  <si>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</si>
  <si>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</si>
  <si>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</si>
  <si>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</si>
  <si>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</si>
  <si>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</si>
  <si>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</si>
  <si>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</si>
  <si>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</si>
  <si>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</si>
  <si>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</si>
  <si>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</si>
  <si>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</si>
  <si>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</si>
  <si>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</si>
  <si>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</si>
  <si>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</si>
  <si>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</si>
  <si>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</si>
  <si>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</si>
  <si>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</si>
  <si>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</si>
  <si>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</si>
  <si>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</si>
  <si>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</si>
  <si>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</si>
  <si>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</si>
  <si>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</si>
  <si>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</si>
  <si>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</si>
  <si>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</si>
  <si>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</si>
  <si>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</si>
  <si>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</si>
  <si>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</si>
  <si>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</si>
  <si>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</si>
  <si>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</si>
  <si>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</si>
  <si>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</si>
  <si>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</si>
  <si>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</si>
  <si>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</si>
  <si>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</si>
  <si>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</si>
  <si>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</si>
  <si>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</si>
  <si>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</si>
  <si>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</si>
  <si>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</si>
  <si>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</si>
  <si>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</si>
  <si>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</si>
  <si>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</si>
  <si>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</si>
  <si>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</si>
  <si>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</si>
  <si>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</si>
  <si>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</si>
  <si>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</si>
  <si>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</si>
  <si>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</si>
  <si>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</si>
  <si>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</si>
  <si>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</si>
  <si>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</si>
  <si>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</si>
  <si>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</si>
  <si>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</si>
  <si>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</si>
  <si>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</si>
  <si>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</si>
  <si>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</si>
  <si>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</si>
  <si>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</si>
  <si>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</si>
  <si>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</si>
  <si>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</si>
  <si>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</si>
  <si>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</si>
  <si>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</si>
  <si>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</si>
  <si>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</si>
  <si>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</si>
  <si>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</si>
  <si>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</si>
  <si>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</si>
  <si>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</si>
  <si>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</si>
  <si>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</si>
  <si>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</si>
  <si>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</si>
  <si>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</si>
  <si>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</si>
  <si>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</si>
  <si>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</si>
  <si>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</si>
  <si>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</si>
  <si>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</si>
  <si>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</si>
  <si>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</si>
  <si>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</si>
  <si>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</si>
  <si>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</si>
  <si>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</si>
  <si>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</si>
  <si>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</si>
  <si>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</si>
  <si>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</si>
  <si>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</si>
  <si>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</si>
  <si>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</si>
  <si>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</si>
  <si>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</si>
  <si>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</si>
  <si>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</si>
  <si>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</si>
  <si>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</si>
  <si>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</si>
  <si>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</si>
  <si>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</si>
  <si>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</si>
  <si>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</si>
  <si>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</si>
  <si>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</si>
  <si>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</si>
  <si>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</si>
  <si>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</si>
  <si>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</si>
  <si>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</si>
  <si>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</si>
  <si>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</si>
  <si>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</si>
  <si>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</si>
  <si>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</si>
  <si>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</si>
  <si>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</si>
  <si>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</si>
  <si>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</si>
  <si>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</si>
  <si>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</si>
  <si>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</si>
  <si>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</si>
  <si>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</si>
  <si>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</si>
  <si>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</si>
  <si>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</si>
  <si>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</si>
  <si>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</si>
  <si>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</si>
  <si>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</si>
  <si>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</si>
  <si>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</si>
  <si>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</si>
  <si>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</si>
  <si>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</si>
  <si>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</si>
  <si>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</si>
  <si>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</si>
  <si>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</si>
  <si>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</si>
  <si>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</si>
  <si>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</si>
  <si>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</si>
  <si>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</si>
  <si>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</si>
  <si>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</si>
  <si>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</si>
  <si>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</si>
  <si>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</si>
  <si>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</si>
  <si>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</si>
  <si>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</si>
  <si>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</si>
  <si>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</si>
  <si>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</si>
  <si>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</si>
  <si>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</si>
  <si>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</si>
  <si>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</si>
  <si>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</si>
  <si>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</si>
  <si>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</si>
  <si>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</si>
  <si>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</si>
  <si>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</si>
  <si>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</si>
  <si>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</si>
  <si>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</si>
  <si>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</si>
  <si>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</si>
  <si>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</si>
  <si>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</si>
  <si>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</si>
  <si>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</si>
  <si>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</si>
  <si>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</si>
  <si>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</si>
  <si>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</si>
  <si>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</si>
  <si>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</si>
  <si>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</si>
  <si>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</si>
  <si>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</si>
  <si>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</si>
  <si>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</si>
  <si>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</si>
  <si>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</si>
  <si>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</si>
  <si>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</si>
  <si>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</si>
  <si>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</si>
  <si>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</si>
  <si>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</si>
  <si>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</si>
  <si>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</si>
  <si>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</si>
  <si>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</si>
  <si>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</si>
  <si>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</si>
  <si>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</si>
  <si>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</si>
  <si>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</si>
  <si>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</si>
  <si>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</si>
  <si>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</si>
  <si>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</si>
  <si>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</si>
  <si>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</si>
  <si>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</si>
  <si>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</si>
  <si>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</si>
  <si>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</si>
  <si>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</si>
  <si>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</si>
  <si>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</si>
  <si>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</si>
  <si>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</si>
  <si>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</si>
  <si>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</si>
  <si>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</si>
  <si>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</si>
  <si>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</si>
  <si>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</si>
  <si>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</si>
  <si>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</si>
  <si>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</si>
  <si>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</si>
  <si>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</si>
  <si>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</si>
  <si>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</si>
  <si>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</si>
  <si>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</si>
  <si>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</si>
  <si>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</si>
  <si>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</si>
  <si>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</si>
  <si>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</si>
  <si>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</si>
  <si>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</si>
  <si>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</si>
  <si>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</si>
  <si>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</si>
  <si>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</si>
  <si>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</si>
  <si>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</si>
  <si>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</si>
  <si>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</si>
  <si>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</si>
  <si>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</si>
  <si>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</si>
  <si>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</si>
  <si>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</si>
  <si>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</si>
  <si>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</si>
  <si>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</si>
  <si>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</si>
  <si>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</si>
  <si>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</si>
  <si>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</si>
  <si>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</si>
  <si>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</si>
  <si>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</si>
  <si>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</si>
  <si>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</si>
  <si>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</si>
  <si>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</si>
  <si>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</si>
  <si>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</si>
  <si>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</si>
  <si>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</si>
  <si>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</si>
  <si>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</si>
  <si>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</si>
  <si>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</si>
  <si>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</si>
  <si>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</si>
  <si>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</si>
  <si>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</si>
  <si>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</si>
  <si>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</si>
  <si>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</si>
  <si>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</si>
  <si>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</si>
  <si>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</si>
  <si>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</si>
  <si>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</si>
  <si>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</si>
  <si>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</si>
  <si>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</si>
  <si>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</si>
  <si>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</si>
  <si>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</si>
  <si>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</si>
  <si>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</si>
  <si>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</si>
  <si>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</si>
  <si>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</si>
  <si>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</si>
  <si>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</si>
  <si>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</si>
  <si>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</si>
  <si>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</si>
  <si>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</si>
  <si>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</si>
  <si>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</si>
  <si>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</si>
  <si>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</si>
  <si>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</si>
  <si>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</si>
  <si>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</si>
  <si>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</si>
  <si>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</si>
  <si>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</si>
  <si>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</si>
  <si>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</si>
  <si>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</si>
  <si>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</si>
  <si>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</si>
  <si>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</si>
  <si>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</si>
  <si>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</si>
  <si>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</si>
  <si>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</si>
  <si>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</si>
  <si>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</si>
  <si>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</si>
  <si>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</si>
  <si>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</si>
  <si>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</si>
  <si>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</si>
  <si>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</si>
  <si>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</si>
  <si>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</si>
  <si>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</si>
  <si>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</si>
  <si>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</si>
  <si>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</si>
  <si>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</si>
  <si>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</si>
  <si>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</si>
  <si>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</si>
  <si>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</si>
  <si>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</si>
  <si>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</si>
  <si>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</si>
  <si>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</si>
  <si>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</si>
  <si>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</si>
  <si>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</si>
  <si>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</si>
  <si>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</si>
  <si>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</si>
  <si>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</si>
  <si>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</si>
  <si>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</si>
  <si>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</si>
  <si>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</si>
  <si>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</si>
  <si>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</si>
  <si>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</si>
  <si>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</si>
  <si>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</si>
  <si>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</si>
  <si>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</si>
  <si>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</si>
  <si>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</si>
  <si>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</si>
  <si>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</si>
  <si>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</si>
  <si>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</si>
  <si>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</si>
  <si>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</si>
  <si>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</si>
  <si>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</si>
  <si>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</si>
  <si>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</si>
  <si>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</si>
  <si>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</si>
  <si>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</si>
  <si>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</si>
  <si>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</si>
  <si>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</si>
  <si>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</si>
  <si>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</si>
  <si>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</si>
  <si>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</si>
  <si>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</si>
  <si>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</si>
  <si>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</si>
  <si>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</si>
  <si>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</si>
  <si>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</si>
  <si>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</si>
  <si>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</si>
  <si>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</si>
  <si>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</si>
  <si>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</si>
  <si>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</si>
  <si>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</si>
  <si>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</si>
  <si>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</si>
  <si>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</si>
  <si>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</si>
  <si>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</si>
  <si>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</si>
  <si>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</si>
  <si>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</si>
  <si>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</si>
  <si>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</si>
  <si>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</si>
  <si>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</si>
  <si>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resolution (Normal-law - KDE) :</t>
  </si>
  <si>
    <t>weighted KDE (peak) :</t>
  </si>
  <si>
    <t>Age [Ma]</t>
  </si>
  <si>
    <t>anchor to zero (peak) :</t>
  </si>
  <si>
    <t>point (opt) :</t>
  </si>
  <si>
    <t>line (opt) :</t>
  </si>
  <si>
    <t>x at 0 (opt) :</t>
  </si>
  <si>
    <t>y at 0 (opt) :</t>
  </si>
  <si>
    <t>smooth (opt) :</t>
  </si>
  <si>
    <t>25-50-1</t>
  </si>
  <si>
    <t>Histogram</t>
  </si>
  <si>
    <t>Ternary diag.</t>
  </si>
  <si>
    <t>Spectrum / spider</t>
  </si>
  <si>
    <t>Concentration [µg/g]</t>
  </si>
  <si>
    <t>auto-auto-auto</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</si>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</sst>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197">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34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6" borderId="30" xfId="0" applyFill="1" applyBorder="1" applyAlignment="1">
      <alignment horizontal="center" vertical="center"/>
    </xf>
    <xf numFmtId="0" fontId="0" fillId="27"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11" fontId="0" fillId="4" borderId="0" xfId="0" applyNumberFormat="1" applyFill="1" applyAlignment="1">
      <alignment horizontal="center" vertical="top"/>
    </xf>
    <xf numFmtId="0" fontId="0" fillId="28"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29" borderId="0" xfId="0" applyFill="1" applyAlignment="1">
      <alignment horizontal="right" vertical="top"/>
    </xf>
    <xf numFmtId="0" fontId="0" fillId="29" borderId="0" xfId="0" applyFill="1" applyAlignment="1">
      <alignment horizontal="center" vertical="top"/>
    </xf>
    <xf numFmtId="49" fontId="27" fillId="3" borderId="0" xfId="0" applyNumberFormat="1" applyFont="1" applyFill="1" applyAlignment="1">
      <alignment horizontal="right"/>
    </xf>
    <xf numFmtId="0" fontId="0" fillId="0" borderId="28" xfId="0" applyBorder="1" applyAlignment="1">
      <alignment horizontal="center" vertical="center"/>
    </xf>
    <xf numFmtId="0" fontId="0" fillId="30" borderId="9" xfId="0" applyFill="1" applyBorder="1" applyAlignment="1">
      <alignment horizontal="center" vertical="center"/>
    </xf>
    <xf numFmtId="0" fontId="0" fillId="31" borderId="29" xfId="0" applyFill="1" applyBorder="1" applyAlignment="1">
      <alignment horizontal="center" vertical="center"/>
    </xf>
    <xf numFmtId="49" fontId="6" fillId="3" borderId="0" xfId="0" applyNumberFormat="1" applyFont="1" applyFill="1" applyAlignment="1">
      <alignment horizontal="right" vertical="center"/>
    </xf>
    <xf numFmtId="49" fontId="8" fillId="13"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21" borderId="0" xfId="0" applyFill="1"/>
    <xf numFmtId="0" fontId="0" fillId="21" borderId="18" xfId="0" applyFill="1" applyBorder="1" applyAlignment="1">
      <alignment horizontal="center" vertical="center"/>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9" fillId="13" borderId="22" xfId="0" applyNumberFormat="1" applyFont="1" applyFill="1" applyBorder="1" applyAlignment="1">
      <alignment horizontal="right" vertical="center"/>
    </xf>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29"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49" fontId="9" fillId="13" borderId="20"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CC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v>Quaternary</c:v>
          </c:tx>
          <c:spPr>
            <a:solidFill>
              <a:schemeClr val="accent1"/>
            </a:solidFill>
            <a:ln>
              <a:noFill/>
            </a:ln>
            <a:effectLst/>
          </c:spPr>
          <c:invertIfNegative val="0"/>
          <c:val>
            <c:numLit>
              <c:ptCount val="0"/>
            </c:numLit>
          </c:val>
          <c:extLst>
            <c:ext xmlns:c15="http://schemas.microsoft.com/office/drawing/2012/chart" uri="{02D57815-91ED-43cb-92C2-25804820EDAC}">
              <c15:filteredCategoryTitle>
                <c15:cat>
                  <mc:AlternateContent xmlns:mc="http://schemas.openxmlformats.org/markup-compatibility/2006">
                    <mc:Choice xmlns:c16ac="http://schemas.microsoft.com/office/drawing/2014/chart/ac" Requires="c16ac">
                      <c16ac:multiLvlStrLit>
                        <c:ptCount val="0"/>
                      </c16ac:multiLvlStrLit>
                    </mc:Choice>
                    <mc:Fallback>
                      <c:strLit/>
                    </mc:Fallback>
                  </mc:AlternateContent>
                </c15:cat>
              </c15:filteredCategoryTitle>
            </c:ext>
            <c:ext xmlns:c16="http://schemas.microsoft.com/office/drawing/2014/chart" uri="{C3380CC4-5D6E-409C-BE32-E72D297353CC}">
              <c16:uniqueId val="{00000000-D464-4D94-9D2D-C5A9FA9C5E04}"/>
            </c:ext>
          </c:extLst>
        </c:ser>
        <c:dLbls>
          <c:showLegendKey val="0"/>
          <c:showVal val="0"/>
          <c:showCatName val="0"/>
          <c:showSerName val="0"/>
          <c:showPercent val="0"/>
          <c:showBubbleSize val="0"/>
        </c:dLbls>
        <c:gapWidth val="150"/>
        <c:overlap val="100"/>
        <c:axId val="588863359"/>
        <c:axId val="588865023"/>
      </c:barChart>
      <c:catAx>
        <c:axId val="588863359"/>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1"/>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5023"/>
        <c:crosses val="autoZero"/>
        <c:auto val="1"/>
        <c:lblAlgn val="ctr"/>
        <c:lblOffset val="100"/>
        <c:noMultiLvlLbl val="0"/>
      </c:catAx>
      <c:valAx>
        <c:axId val="588865023"/>
        <c:scaling>
          <c:orientation val="minMax"/>
          <c:min val="0"/>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0"/>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3359"/>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157162</xdr:rowOff>
    </xdr:from>
    <xdr:to>
      <xdr:col>0</xdr:col>
      <xdr:colOff>0</xdr:colOff>
      <xdr:row>8</xdr:row>
      <xdr:rowOff>157162</xdr:rowOff>
    </xdr:to>
    <xdr:graphicFrame macro="">
      <xdr:nvGraphicFramePr>
        <xdr:cNvPr id="2" name="Graphique 1">
          <a:extLst>
            <a:ext uri="{FF2B5EF4-FFF2-40B4-BE49-F238E27FC236}">
              <a16:creationId xmlns:a16="http://schemas.microsoft.com/office/drawing/2014/main" id="{3ED48925-F852-287D-3BB6-B2571CEA4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D6" sqref="D6"/>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D19" sqref="D19"/>
    </sheetView>
  </sheetViews>
  <sheetFormatPr baseColWidth="10" defaultRowHeight="15" x14ac:dyDescent="0.25"/>
  <cols>
    <col min="1" max="1" width="40.42578125" style="8" customWidth="1"/>
    <col min="2" max="4" width="13.140625" style="6" customWidth="1"/>
    <col min="5" max="7" width="18.140625" style="6" customWidth="1"/>
    <col min="8" max="16" width="11.42578125" style="135"/>
    <col min="17" max="20" width="11.42578125" style="5"/>
    <col min="22" max="22" width="13.42578125" customWidth="1"/>
    <col min="26" max="26" width="18.42578125" customWidth="1"/>
    <col min="28" max="28" width="13.140625" customWidth="1"/>
  </cols>
  <sheetData>
    <row r="1" spans="1:35" s="99" customFormat="1" ht="18.75" x14ac:dyDescent="0.25">
      <c r="A1" s="93" t="s">
        <v>377</v>
      </c>
      <c r="B1" s="94" t="s">
        <v>378</v>
      </c>
      <c r="C1" s="95" t="s">
        <v>379</v>
      </c>
      <c r="D1" s="95" t="s">
        <v>380</v>
      </c>
      <c r="E1" s="95" t="s">
        <v>381</v>
      </c>
      <c r="F1" s="96" t="s">
        <v>382</v>
      </c>
      <c r="G1" s="97" t="s">
        <v>383</v>
      </c>
      <c r="H1" s="133"/>
      <c r="I1" s="133"/>
      <c r="J1" s="133"/>
      <c r="K1" s="133"/>
      <c r="L1" s="133"/>
      <c r="M1" s="133"/>
      <c r="N1" s="133"/>
      <c r="O1" s="133"/>
      <c r="P1" s="133"/>
      <c r="Q1" s="98"/>
      <c r="R1" s="98"/>
      <c r="S1" s="98"/>
      <c r="T1" s="98"/>
      <c r="U1" s="98"/>
      <c r="V1" s="100"/>
      <c r="W1" s="101" t="s">
        <v>378</v>
      </c>
      <c r="X1" s="102" t="s">
        <v>379</v>
      </c>
      <c r="Y1" s="102" t="s">
        <v>380</v>
      </c>
      <c r="Z1" s="102" t="s">
        <v>381</v>
      </c>
      <c r="AA1" s="103" t="s">
        <v>382</v>
      </c>
      <c r="AB1" s="104" t="s">
        <v>383</v>
      </c>
      <c r="AC1" s="98"/>
      <c r="AD1" s="98"/>
      <c r="AE1" s="98"/>
      <c r="AF1" s="98"/>
      <c r="AG1" s="98"/>
      <c r="AH1" s="98"/>
      <c r="AI1" s="98"/>
    </row>
    <row r="2" spans="1:35" ht="21" x14ac:dyDescent="0.25">
      <c r="A2" s="105"/>
      <c r="B2" s="161"/>
      <c r="G2" s="106"/>
      <c r="H2" s="134" t="s">
        <v>384</v>
      </c>
      <c r="U2" s="5"/>
      <c r="V2" s="107" t="s">
        <v>438</v>
      </c>
      <c r="W2" s="118">
        <v>6250335</v>
      </c>
      <c r="X2" s="6" t="s">
        <v>77</v>
      </c>
      <c r="Y2" s="114">
        <v>7</v>
      </c>
      <c r="Z2" s="114">
        <v>0</v>
      </c>
      <c r="AA2" s="6" t="s">
        <v>82</v>
      </c>
      <c r="AB2" s="115">
        <v>1</v>
      </c>
      <c r="AC2" s="5"/>
      <c r="AD2" s="5"/>
      <c r="AE2" s="5"/>
      <c r="AF2" s="5"/>
      <c r="AG2" s="5"/>
      <c r="AH2" s="5"/>
      <c r="AI2" s="5"/>
    </row>
    <row r="3" spans="1:35" x14ac:dyDescent="0.25">
      <c r="A3" s="105"/>
      <c r="B3" s="161"/>
      <c r="G3" s="106"/>
      <c r="U3" s="5"/>
      <c r="V3" s="116" t="s">
        <v>393</v>
      </c>
      <c r="W3" s="163">
        <v>204</v>
      </c>
      <c r="X3" s="112"/>
      <c r="Y3" s="112"/>
      <c r="Z3" s="112"/>
      <c r="AA3" s="112"/>
      <c r="AB3" s="113"/>
      <c r="AC3" s="5"/>
      <c r="AD3" s="5"/>
      <c r="AE3" s="5"/>
      <c r="AF3" s="5"/>
      <c r="AG3" s="5"/>
      <c r="AH3" s="5"/>
      <c r="AI3" s="5"/>
    </row>
    <row r="4" spans="1:35" x14ac:dyDescent="0.25">
      <c r="A4" s="105"/>
      <c r="B4" s="161"/>
      <c r="G4" s="106"/>
      <c r="H4" s="160" t="s">
        <v>428</v>
      </c>
      <c r="U4" s="5"/>
      <c r="V4" s="123" t="s">
        <v>392</v>
      </c>
      <c r="W4" s="162">
        <v>3381555</v>
      </c>
      <c r="X4" s="121"/>
      <c r="Y4" s="121"/>
      <c r="Z4" s="121"/>
      <c r="AA4" s="121"/>
      <c r="AB4" s="122"/>
      <c r="AC4" s="5"/>
      <c r="AD4" s="5"/>
      <c r="AE4" s="5"/>
      <c r="AF4" s="5"/>
      <c r="AG4" s="5"/>
      <c r="AH4" s="5"/>
      <c r="AI4" s="5"/>
    </row>
    <row r="5" spans="1:35" x14ac:dyDescent="0.25">
      <c r="A5" s="105"/>
      <c r="B5" s="161"/>
      <c r="G5" s="106"/>
      <c r="I5" s="135" t="s">
        <v>429</v>
      </c>
      <c r="U5" s="5"/>
      <c r="V5" s="117" t="s">
        <v>396</v>
      </c>
      <c r="W5" s="154">
        <v>13382400</v>
      </c>
      <c r="X5" s="121"/>
      <c r="Y5" s="121"/>
      <c r="Z5" s="121"/>
      <c r="AA5" s="121"/>
      <c r="AB5" s="122"/>
      <c r="AC5" s="5"/>
      <c r="AD5" s="5"/>
      <c r="AE5" s="5"/>
      <c r="AF5" s="5"/>
      <c r="AG5" s="5"/>
      <c r="AH5" s="5"/>
      <c r="AI5" s="5"/>
    </row>
    <row r="6" spans="1:35" x14ac:dyDescent="0.25">
      <c r="A6" s="108"/>
      <c r="B6" s="161"/>
      <c r="G6" s="106"/>
      <c r="I6" s="135" t="s">
        <v>430</v>
      </c>
      <c r="U6" s="5"/>
      <c r="V6" s="142" t="s">
        <v>435</v>
      </c>
      <c r="W6" s="140">
        <v>4934475</v>
      </c>
      <c r="X6" s="121"/>
      <c r="Y6" s="121"/>
      <c r="Z6" s="136">
        <v>0</v>
      </c>
      <c r="AA6" s="136" t="s">
        <v>83</v>
      </c>
      <c r="AB6" s="137">
        <v>0.75</v>
      </c>
      <c r="AC6" s="5"/>
      <c r="AD6" s="5"/>
      <c r="AE6" s="5"/>
      <c r="AF6" s="5"/>
      <c r="AG6" s="5"/>
      <c r="AH6" s="5"/>
      <c r="AI6" s="5"/>
    </row>
    <row r="7" spans="1:35" x14ac:dyDescent="0.25">
      <c r="A7" s="105"/>
      <c r="B7" s="161"/>
      <c r="G7" s="106"/>
      <c r="I7" s="135" t="s">
        <v>437</v>
      </c>
      <c r="U7" s="5"/>
      <c r="V7" s="143" t="s">
        <v>436</v>
      </c>
      <c r="W7" s="141">
        <v>11513775</v>
      </c>
      <c r="X7" s="121"/>
      <c r="Y7" s="121"/>
      <c r="Z7" s="138">
        <v>0</v>
      </c>
      <c r="AA7" s="138" t="s">
        <v>83</v>
      </c>
      <c r="AB7" s="139">
        <v>0.25</v>
      </c>
      <c r="AC7" s="5"/>
      <c r="AD7" s="5"/>
      <c r="AE7" s="5"/>
      <c r="AF7" s="5"/>
      <c r="AG7" s="5"/>
      <c r="AH7" s="5"/>
      <c r="AI7" s="5"/>
    </row>
    <row r="8" spans="1:35" x14ac:dyDescent="0.25">
      <c r="A8" s="105"/>
      <c r="B8" s="161"/>
      <c r="G8" s="106"/>
      <c r="U8" s="5"/>
      <c r="V8" s="5"/>
      <c r="W8" s="5"/>
      <c r="X8" s="5"/>
      <c r="Y8" s="5"/>
      <c r="Z8" s="5"/>
      <c r="AA8" s="5"/>
      <c r="AB8" s="5"/>
      <c r="AC8" s="5"/>
      <c r="AD8" s="5"/>
      <c r="AE8" s="5"/>
      <c r="AF8" s="5"/>
      <c r="AG8" s="5"/>
      <c r="AH8" s="5"/>
      <c r="AI8" s="5"/>
    </row>
    <row r="9" spans="1:35" x14ac:dyDescent="0.25">
      <c r="A9" s="105"/>
      <c r="B9" s="161"/>
      <c r="G9" s="106"/>
      <c r="U9" s="5"/>
      <c r="V9" s="5"/>
      <c r="W9" s="5"/>
      <c r="X9" s="5"/>
      <c r="Y9" s="5"/>
      <c r="Z9" s="5"/>
      <c r="AA9" s="5"/>
      <c r="AB9" s="5"/>
      <c r="AC9" s="5"/>
      <c r="AD9" s="5"/>
      <c r="AE9" s="5"/>
      <c r="AF9" s="5"/>
      <c r="AG9" s="5"/>
      <c r="AH9" s="5"/>
      <c r="AI9" s="5"/>
    </row>
    <row r="10" spans="1:35" x14ac:dyDescent="0.25">
      <c r="A10" s="108"/>
      <c r="B10" s="161"/>
      <c r="G10" s="106"/>
      <c r="U10" s="5"/>
      <c r="V10" s="5"/>
      <c r="W10" s="5"/>
      <c r="X10" s="5"/>
      <c r="Y10" s="5"/>
      <c r="Z10" s="5"/>
      <c r="AA10" s="5"/>
      <c r="AB10" s="5"/>
      <c r="AC10" s="5"/>
      <c r="AD10" s="5"/>
      <c r="AE10" s="5"/>
      <c r="AF10" s="5"/>
      <c r="AG10" s="5"/>
      <c r="AH10" s="5"/>
      <c r="AI10" s="5"/>
    </row>
    <row r="11" spans="1:35" x14ac:dyDescent="0.25">
      <c r="A11" s="108"/>
      <c r="B11" s="161"/>
      <c r="G11" s="106"/>
      <c r="U11" s="5"/>
      <c r="V11" s="5"/>
      <c r="W11" s="5"/>
      <c r="X11" s="5"/>
      <c r="Y11" s="5"/>
      <c r="Z11" s="5"/>
      <c r="AA11" s="5"/>
      <c r="AB11" s="5"/>
      <c r="AC11" s="5"/>
      <c r="AD11" s="5"/>
      <c r="AE11" s="5"/>
      <c r="AF11" s="5"/>
      <c r="AG11" s="5"/>
      <c r="AH11" s="5"/>
      <c r="AI11" s="5"/>
    </row>
    <row r="12" spans="1:35" x14ac:dyDescent="0.25">
      <c r="A12" s="105"/>
      <c r="B12" s="161"/>
      <c r="G12" s="106"/>
      <c r="U12" s="5"/>
      <c r="V12" s="5"/>
      <c r="W12" s="5"/>
      <c r="X12" s="5"/>
      <c r="Y12" s="5"/>
      <c r="Z12" s="5"/>
      <c r="AA12" s="5"/>
      <c r="AB12" s="5"/>
      <c r="AC12" s="5"/>
      <c r="AD12" s="5"/>
      <c r="AE12" s="5"/>
      <c r="AF12" s="5"/>
      <c r="AG12" s="5"/>
      <c r="AH12" s="5"/>
      <c r="AI12" s="5"/>
    </row>
    <row r="13" spans="1:35" x14ac:dyDescent="0.25">
      <c r="A13" s="105"/>
      <c r="B13" s="161"/>
      <c r="G13" s="106"/>
      <c r="U13" s="5"/>
      <c r="V13" s="5"/>
      <c r="W13" s="5"/>
      <c r="X13" s="5"/>
      <c r="Y13" s="5"/>
      <c r="Z13" s="5"/>
      <c r="AA13" s="5"/>
      <c r="AB13" s="5"/>
      <c r="AC13" s="5"/>
      <c r="AD13" s="5"/>
      <c r="AE13" s="5"/>
      <c r="AF13" s="5"/>
      <c r="AG13" s="5"/>
      <c r="AH13" s="5"/>
      <c r="AI13" s="5"/>
    </row>
    <row r="14" spans="1:35" x14ac:dyDescent="0.25">
      <c r="A14" s="105"/>
      <c r="B14" s="161"/>
      <c r="G14" s="106"/>
      <c r="U14" s="5"/>
      <c r="V14" s="5"/>
      <c r="W14" s="5"/>
      <c r="X14" s="5"/>
      <c r="Y14" s="5"/>
      <c r="Z14" s="5"/>
      <c r="AA14" s="5"/>
      <c r="AB14" s="5"/>
      <c r="AC14" s="5"/>
      <c r="AD14" s="5"/>
      <c r="AE14" s="5"/>
      <c r="AF14" s="5"/>
      <c r="AG14" s="5"/>
      <c r="AH14" s="5"/>
      <c r="AI14" s="5"/>
    </row>
    <row r="15" spans="1:35" x14ac:dyDescent="0.25">
      <c r="A15" s="105"/>
      <c r="B15" s="161"/>
      <c r="G15" s="106"/>
      <c r="U15" s="5"/>
      <c r="V15" s="5"/>
      <c r="W15" s="5"/>
      <c r="X15" s="5"/>
      <c r="Y15" s="5"/>
      <c r="Z15" s="5"/>
      <c r="AA15" s="5"/>
      <c r="AB15" s="5"/>
      <c r="AC15" s="5"/>
      <c r="AD15" s="5"/>
      <c r="AE15" s="5"/>
      <c r="AF15" s="5"/>
      <c r="AG15" s="5"/>
      <c r="AH15" s="5"/>
      <c r="AI15" s="5"/>
    </row>
    <row r="16" spans="1:35" x14ac:dyDescent="0.25">
      <c r="A16" s="105"/>
      <c r="B16" s="161"/>
      <c r="G16" s="106"/>
      <c r="U16" s="5"/>
      <c r="V16" s="5"/>
      <c r="W16" s="5"/>
      <c r="X16" s="5"/>
      <c r="Y16" s="5"/>
      <c r="Z16" s="5"/>
      <c r="AA16" s="5"/>
      <c r="AB16" s="5"/>
      <c r="AC16" s="5"/>
      <c r="AD16" s="5"/>
      <c r="AE16" s="5"/>
      <c r="AF16" s="5"/>
      <c r="AG16" s="5"/>
      <c r="AH16" s="5"/>
      <c r="AI16" s="5"/>
    </row>
    <row r="17" spans="1:35" x14ac:dyDescent="0.25">
      <c r="A17" s="105"/>
      <c r="B17" s="161"/>
      <c r="G17" s="106"/>
      <c r="U17" s="5"/>
      <c r="V17" s="5"/>
      <c r="W17" s="5"/>
      <c r="X17" s="5"/>
      <c r="Y17" s="5"/>
      <c r="Z17" s="5"/>
      <c r="AA17" s="5"/>
      <c r="AB17" s="5"/>
      <c r="AC17" s="5"/>
      <c r="AD17" s="5"/>
      <c r="AE17" s="5"/>
      <c r="AF17" s="5"/>
      <c r="AG17" s="5"/>
      <c r="AH17" s="5"/>
      <c r="AI17" s="5"/>
    </row>
    <row r="18" spans="1:35" x14ac:dyDescent="0.25">
      <c r="A18" s="105"/>
      <c r="B18" s="161"/>
      <c r="G18" s="106"/>
      <c r="U18" s="5"/>
      <c r="V18" s="5"/>
      <c r="W18" s="5"/>
      <c r="X18" s="5"/>
      <c r="Y18" s="5"/>
      <c r="Z18" s="5"/>
      <c r="AA18" s="5"/>
      <c r="AB18" s="5"/>
      <c r="AC18" s="5"/>
      <c r="AD18" s="5"/>
      <c r="AE18" s="5"/>
      <c r="AF18" s="5"/>
      <c r="AG18" s="5"/>
      <c r="AH18" s="5"/>
      <c r="AI18" s="5"/>
    </row>
    <row r="19" spans="1:35" x14ac:dyDescent="0.25">
      <c r="A19" s="105"/>
      <c r="B19" s="161"/>
      <c r="G19" s="106"/>
      <c r="U19" s="5"/>
      <c r="V19" s="5"/>
      <c r="W19" s="5"/>
      <c r="X19" s="5"/>
      <c r="Y19" s="5"/>
      <c r="Z19" s="5"/>
      <c r="AA19" s="5"/>
      <c r="AB19" s="5"/>
      <c r="AC19" s="5"/>
      <c r="AD19" s="5"/>
      <c r="AE19" s="5"/>
      <c r="AF19" s="5"/>
      <c r="AG19" s="5"/>
      <c r="AH19" s="5"/>
      <c r="AI19" s="5"/>
    </row>
    <row r="20" spans="1:35" x14ac:dyDescent="0.25">
      <c r="A20" s="105"/>
      <c r="B20" s="161"/>
      <c r="G20" s="106"/>
      <c r="U20" s="5"/>
      <c r="V20" s="5"/>
      <c r="W20" s="5"/>
      <c r="X20" s="5"/>
      <c r="Y20" s="5"/>
      <c r="Z20" s="5"/>
      <c r="AA20" s="5"/>
      <c r="AB20" s="5"/>
      <c r="AC20" s="5"/>
      <c r="AD20" s="5"/>
      <c r="AE20" s="5"/>
      <c r="AF20" s="5"/>
      <c r="AG20" s="5"/>
      <c r="AH20" s="5"/>
      <c r="AI20" s="5"/>
    </row>
    <row r="21" spans="1:35" x14ac:dyDescent="0.25">
      <c r="A21" s="105"/>
      <c r="B21" s="161"/>
      <c r="G21" s="106"/>
      <c r="U21" s="5"/>
      <c r="V21" s="5"/>
      <c r="W21" s="5"/>
      <c r="X21" s="5"/>
      <c r="Y21" s="5"/>
      <c r="Z21" s="5"/>
      <c r="AA21" s="5"/>
      <c r="AB21" s="5"/>
      <c r="AC21" s="5"/>
      <c r="AD21" s="5"/>
      <c r="AE21" s="5"/>
      <c r="AF21" s="5"/>
      <c r="AG21" s="5"/>
      <c r="AH21" s="5"/>
      <c r="AI21" s="5"/>
    </row>
    <row r="22" spans="1:35" x14ac:dyDescent="0.25">
      <c r="A22" s="105"/>
      <c r="B22" s="161"/>
      <c r="G22" s="106"/>
      <c r="U22" s="5"/>
      <c r="V22" s="5"/>
      <c r="W22" s="5"/>
      <c r="X22" s="5"/>
      <c r="Y22" s="5"/>
      <c r="Z22" s="5"/>
      <c r="AA22" s="5"/>
      <c r="AB22" s="5"/>
      <c r="AC22" s="5"/>
      <c r="AD22" s="5"/>
      <c r="AE22" s="5"/>
      <c r="AF22" s="5"/>
      <c r="AG22" s="5"/>
      <c r="AH22" s="5"/>
      <c r="AI22" s="5"/>
    </row>
    <row r="23" spans="1:35" x14ac:dyDescent="0.25">
      <c r="A23" s="105"/>
      <c r="B23" s="161"/>
      <c r="G23" s="106"/>
      <c r="U23" s="5"/>
      <c r="V23" s="5"/>
      <c r="W23" s="5"/>
      <c r="X23" s="5"/>
      <c r="Y23" s="5"/>
      <c r="Z23" s="5"/>
      <c r="AA23" s="5"/>
      <c r="AB23" s="5"/>
      <c r="AC23" s="5"/>
      <c r="AD23" s="5"/>
      <c r="AE23" s="5"/>
      <c r="AF23" s="5"/>
      <c r="AG23" s="5"/>
      <c r="AH23" s="5"/>
      <c r="AI23" s="5"/>
    </row>
    <row r="24" spans="1:35" x14ac:dyDescent="0.25">
      <c r="A24" s="105"/>
      <c r="B24" s="161"/>
      <c r="G24" s="106"/>
      <c r="U24" s="5"/>
      <c r="V24" s="5"/>
      <c r="W24" s="5"/>
      <c r="X24" s="5"/>
      <c r="Y24" s="5"/>
      <c r="Z24" s="5"/>
      <c r="AA24" s="5"/>
      <c r="AB24" s="5"/>
      <c r="AC24" s="5"/>
      <c r="AD24" s="5"/>
      <c r="AE24" s="5"/>
      <c r="AF24" s="5"/>
      <c r="AG24" s="5"/>
      <c r="AH24" s="5"/>
      <c r="AI24" s="5"/>
    </row>
    <row r="25" spans="1:35" x14ac:dyDescent="0.25">
      <c r="A25" s="105"/>
      <c r="B25" s="161"/>
      <c r="G25" s="106"/>
      <c r="U25" s="5"/>
      <c r="V25" s="5"/>
      <c r="W25" s="5"/>
      <c r="X25" s="5"/>
      <c r="Y25" s="5"/>
      <c r="Z25" s="5"/>
      <c r="AA25" s="5"/>
      <c r="AB25" s="5"/>
      <c r="AC25" s="5"/>
      <c r="AD25" s="5"/>
      <c r="AE25" s="5"/>
      <c r="AF25" s="5"/>
      <c r="AG25" s="5"/>
      <c r="AH25" s="5"/>
      <c r="AI25" s="5"/>
    </row>
    <row r="26" spans="1:35" x14ac:dyDescent="0.25">
      <c r="A26" s="105"/>
      <c r="B26" s="161"/>
      <c r="G26" s="106"/>
      <c r="U26" s="5"/>
      <c r="V26" s="5"/>
      <c r="W26" s="5"/>
      <c r="X26" s="5"/>
      <c r="Y26" s="5"/>
      <c r="Z26" s="5"/>
      <c r="AA26" s="5"/>
      <c r="AB26" s="5"/>
      <c r="AC26" s="5"/>
      <c r="AD26" s="5"/>
      <c r="AE26" s="5"/>
      <c r="AF26" s="5"/>
      <c r="AG26" s="5"/>
      <c r="AH26" s="5"/>
      <c r="AI26" s="5"/>
    </row>
    <row r="27" spans="1:35" x14ac:dyDescent="0.25">
      <c r="A27" s="105"/>
      <c r="B27" s="161"/>
      <c r="G27" s="106"/>
      <c r="U27" s="5"/>
      <c r="V27" s="5"/>
      <c r="W27" s="5"/>
      <c r="X27" s="5"/>
      <c r="Y27" s="5"/>
      <c r="Z27" s="5"/>
      <c r="AA27" s="5"/>
      <c r="AB27" s="5"/>
      <c r="AC27" s="5"/>
      <c r="AD27" s="5"/>
      <c r="AE27" s="5"/>
      <c r="AF27" s="5"/>
      <c r="AG27" s="5"/>
      <c r="AH27" s="5"/>
      <c r="AI27" s="5"/>
    </row>
    <row r="28" spans="1:35" x14ac:dyDescent="0.25">
      <c r="A28" s="105"/>
      <c r="B28" s="161"/>
      <c r="G28" s="106"/>
      <c r="U28" s="5"/>
      <c r="V28" s="5"/>
      <c r="W28" s="5"/>
      <c r="X28" s="5"/>
      <c r="Y28" s="5"/>
      <c r="Z28" s="5"/>
      <c r="AA28" s="5"/>
      <c r="AB28" s="5"/>
      <c r="AC28" s="5"/>
      <c r="AD28" s="5"/>
      <c r="AE28" s="5"/>
      <c r="AF28" s="5"/>
      <c r="AG28" s="5"/>
      <c r="AH28" s="5"/>
      <c r="AI28" s="5"/>
    </row>
    <row r="29" spans="1:35" x14ac:dyDescent="0.25">
      <c r="A29" s="105"/>
      <c r="B29" s="161"/>
      <c r="G29" s="106"/>
      <c r="U29" s="5"/>
      <c r="V29" s="5"/>
      <c r="W29" s="5"/>
      <c r="X29" s="5"/>
      <c r="Y29" s="5"/>
      <c r="Z29" s="5"/>
      <c r="AA29" s="5"/>
      <c r="AB29" s="5"/>
      <c r="AC29" s="5"/>
      <c r="AD29" s="5"/>
      <c r="AE29" s="5"/>
      <c r="AF29" s="5"/>
      <c r="AG29" s="5"/>
      <c r="AH29" s="5"/>
      <c r="AI29" s="5"/>
    </row>
    <row r="30" spans="1:35" x14ac:dyDescent="0.25">
      <c r="A30" s="105"/>
      <c r="B30" s="161"/>
      <c r="G30" s="106"/>
      <c r="U30" s="5"/>
      <c r="V30" s="5"/>
      <c r="W30" s="5"/>
      <c r="X30" s="5"/>
      <c r="Y30" s="5"/>
      <c r="Z30" s="5"/>
      <c r="AA30" s="5"/>
      <c r="AB30" s="5"/>
      <c r="AC30" s="5"/>
      <c r="AD30" s="5"/>
      <c r="AE30" s="5"/>
      <c r="AF30" s="5"/>
      <c r="AG30" s="5"/>
      <c r="AH30" s="5"/>
      <c r="AI30" s="5"/>
    </row>
    <row r="31" spans="1:35" x14ac:dyDescent="0.25">
      <c r="A31" s="105"/>
      <c r="B31" s="161"/>
      <c r="G31" s="106"/>
      <c r="U31" s="5"/>
      <c r="V31" s="5"/>
      <c r="W31" s="5"/>
      <c r="X31" s="5"/>
      <c r="Y31" s="5"/>
      <c r="Z31" s="5"/>
      <c r="AA31" s="5"/>
      <c r="AB31" s="5"/>
      <c r="AC31" s="5"/>
      <c r="AD31" s="5"/>
      <c r="AE31" s="5"/>
      <c r="AF31" s="5"/>
      <c r="AG31" s="5"/>
      <c r="AH31" s="5"/>
      <c r="AI31" s="5"/>
    </row>
    <row r="32" spans="1:35" x14ac:dyDescent="0.25">
      <c r="A32" s="105"/>
      <c r="B32" s="161"/>
      <c r="G32" s="106"/>
      <c r="U32" s="5"/>
      <c r="V32" s="5"/>
      <c r="W32" s="5"/>
      <c r="X32" s="5"/>
      <c r="Y32" s="5"/>
      <c r="Z32" s="5"/>
      <c r="AA32" s="5"/>
      <c r="AB32" s="5"/>
      <c r="AC32" s="5"/>
      <c r="AD32" s="5"/>
      <c r="AE32" s="5"/>
      <c r="AF32" s="5"/>
      <c r="AG32" s="5"/>
      <c r="AH32" s="5"/>
      <c r="AI32" s="5"/>
    </row>
    <row r="33" spans="1:35" x14ac:dyDescent="0.25">
      <c r="A33" s="105"/>
      <c r="B33" s="161"/>
      <c r="G33" s="106"/>
      <c r="U33" s="5"/>
      <c r="V33" s="5"/>
      <c r="W33" s="5"/>
      <c r="X33" s="5"/>
      <c r="Y33" s="5"/>
      <c r="Z33" s="5"/>
      <c r="AA33" s="5"/>
      <c r="AB33" s="5"/>
      <c r="AC33" s="5"/>
      <c r="AD33" s="5"/>
      <c r="AE33" s="5"/>
      <c r="AF33" s="5"/>
      <c r="AG33" s="5"/>
      <c r="AH33" s="5"/>
      <c r="AI33" s="5"/>
    </row>
    <row r="34" spans="1:35" x14ac:dyDescent="0.25">
      <c r="A34" s="105"/>
      <c r="B34" s="161"/>
      <c r="G34" s="106"/>
    </row>
    <row r="35" spans="1:35" x14ac:dyDescent="0.25">
      <c r="A35" s="105"/>
      <c r="B35" s="161"/>
      <c r="G35" s="106"/>
    </row>
    <row r="36" spans="1:35" x14ac:dyDescent="0.25">
      <c r="A36" s="105"/>
      <c r="B36" s="161"/>
      <c r="G36" s="106"/>
    </row>
    <row r="37" spans="1:35" x14ac:dyDescent="0.25">
      <c r="A37" s="105"/>
      <c r="B37" s="161"/>
      <c r="G37" s="106"/>
    </row>
    <row r="38" spans="1:35" x14ac:dyDescent="0.25">
      <c r="A38" s="105"/>
      <c r="B38" s="161"/>
      <c r="G38" s="106"/>
    </row>
    <row r="39" spans="1:35" x14ac:dyDescent="0.25">
      <c r="A39" s="105"/>
      <c r="B39" s="161"/>
      <c r="G39" s="106"/>
    </row>
    <row r="40" spans="1:35" x14ac:dyDescent="0.25">
      <c r="A40" s="105"/>
      <c r="B40" s="161"/>
      <c r="G40" s="106"/>
    </row>
    <row r="41" spans="1:35" x14ac:dyDescent="0.25">
      <c r="A41" s="105"/>
      <c r="B41" s="161"/>
      <c r="G41" s="106"/>
    </row>
    <row r="42" spans="1:35" x14ac:dyDescent="0.25">
      <c r="A42" s="105"/>
      <c r="B42" s="161"/>
      <c r="G42" s="106"/>
    </row>
    <row r="43" spans="1:35" x14ac:dyDescent="0.25">
      <c r="A43" s="105"/>
      <c r="B43" s="161"/>
      <c r="G43" s="106"/>
    </row>
    <row r="44" spans="1:35" x14ac:dyDescent="0.25">
      <c r="A44" s="105"/>
      <c r="B44" s="161"/>
      <c r="G44" s="106"/>
    </row>
    <row r="45" spans="1:35" x14ac:dyDescent="0.25">
      <c r="A45" s="105"/>
      <c r="B45" s="161"/>
      <c r="G45" s="106"/>
    </row>
    <row r="46" spans="1:35" x14ac:dyDescent="0.25">
      <c r="A46" s="105"/>
      <c r="B46" s="161"/>
      <c r="G46" s="106"/>
    </row>
    <row r="47" spans="1:35" x14ac:dyDescent="0.25">
      <c r="A47" s="105"/>
      <c r="B47" s="161"/>
      <c r="G47" s="106"/>
    </row>
    <row r="48" spans="1:35" x14ac:dyDescent="0.25">
      <c r="A48" s="105"/>
      <c r="B48" s="161"/>
      <c r="G48" s="106"/>
    </row>
    <row r="49" spans="1:7" x14ac:dyDescent="0.25">
      <c r="A49" s="105"/>
      <c r="B49" s="161"/>
      <c r="G49" s="106"/>
    </row>
    <row r="50" spans="1:7" x14ac:dyDescent="0.25">
      <c r="A50" s="105"/>
      <c r="B50" s="161"/>
      <c r="G50" s="106"/>
    </row>
    <row r="51" spans="1:7" x14ac:dyDescent="0.25">
      <c r="A51" s="105"/>
      <c r="B51" s="161"/>
      <c r="G51" s="106"/>
    </row>
    <row r="52" spans="1:7" x14ac:dyDescent="0.25">
      <c r="A52" s="105"/>
      <c r="B52" s="161"/>
      <c r="G52" s="106"/>
    </row>
    <row r="53" spans="1:7" x14ac:dyDescent="0.25">
      <c r="A53" s="105"/>
      <c r="B53" s="161"/>
      <c r="G53" s="106"/>
    </row>
    <row r="54" spans="1:7" x14ac:dyDescent="0.25">
      <c r="A54" s="105"/>
      <c r="B54" s="161"/>
      <c r="G54" s="106"/>
    </row>
    <row r="55" spans="1:7" x14ac:dyDescent="0.25">
      <c r="A55" s="105"/>
      <c r="B55" s="161"/>
      <c r="G55" s="106"/>
    </row>
    <row r="56" spans="1:7" x14ac:dyDescent="0.25">
      <c r="A56" s="105"/>
      <c r="B56" s="161"/>
      <c r="G56" s="106"/>
    </row>
    <row r="57" spans="1:7" x14ac:dyDescent="0.25">
      <c r="A57" s="105"/>
      <c r="B57" s="161"/>
      <c r="G57" s="106"/>
    </row>
    <row r="58" spans="1:7" x14ac:dyDescent="0.25">
      <c r="A58" s="105"/>
      <c r="B58" s="161"/>
      <c r="G58" s="106"/>
    </row>
    <row r="59" spans="1:7" x14ac:dyDescent="0.25">
      <c r="A59" s="105"/>
      <c r="B59" s="161"/>
      <c r="G59" s="106"/>
    </row>
    <row r="60" spans="1:7" x14ac:dyDescent="0.25">
      <c r="A60" s="105"/>
      <c r="B60" s="161"/>
      <c r="G60" s="106"/>
    </row>
    <row r="61" spans="1:7" x14ac:dyDescent="0.25">
      <c r="A61" s="105"/>
      <c r="B61" s="161"/>
      <c r="G61" s="106"/>
    </row>
    <row r="62" spans="1:7" x14ac:dyDescent="0.25">
      <c r="A62" s="105"/>
      <c r="B62" s="161"/>
      <c r="G62" s="106"/>
    </row>
    <row r="63" spans="1:7" x14ac:dyDescent="0.25">
      <c r="A63" s="105"/>
      <c r="B63" s="161"/>
      <c r="G63" s="106"/>
    </row>
    <row r="64" spans="1:7" x14ac:dyDescent="0.25">
      <c r="A64" s="105"/>
      <c r="B64" s="161"/>
      <c r="G64" s="106"/>
    </row>
    <row r="65" spans="1:7" x14ac:dyDescent="0.25">
      <c r="A65" s="105"/>
      <c r="B65" s="161"/>
      <c r="G65" s="106"/>
    </row>
    <row r="66" spans="1:7" x14ac:dyDescent="0.25">
      <c r="A66" s="105"/>
      <c r="B66" s="161"/>
      <c r="G66" s="106"/>
    </row>
    <row r="67" spans="1:7" x14ac:dyDescent="0.25">
      <c r="A67" s="105"/>
      <c r="B67" s="161"/>
      <c r="G67" s="106"/>
    </row>
    <row r="68" spans="1:7" x14ac:dyDescent="0.25">
      <c r="A68" s="105"/>
      <c r="B68" s="161"/>
      <c r="G68" s="106"/>
    </row>
    <row r="69" spans="1:7" x14ac:dyDescent="0.25">
      <c r="A69" s="105"/>
      <c r="B69" s="161"/>
      <c r="G69" s="106"/>
    </row>
    <row r="70" spans="1:7" x14ac:dyDescent="0.25">
      <c r="A70" s="105"/>
      <c r="B70" s="161"/>
      <c r="G70" s="106"/>
    </row>
    <row r="71" spans="1:7" x14ac:dyDescent="0.25">
      <c r="A71" s="105"/>
      <c r="B71" s="161"/>
      <c r="G71" s="106"/>
    </row>
    <row r="72" spans="1:7" x14ac:dyDescent="0.25">
      <c r="A72" s="105"/>
      <c r="B72" s="161"/>
      <c r="G72" s="106"/>
    </row>
    <row r="73" spans="1:7" x14ac:dyDescent="0.25">
      <c r="A73" s="105"/>
      <c r="B73" s="161"/>
      <c r="G73" s="106"/>
    </row>
    <row r="74" spans="1:7" x14ac:dyDescent="0.25">
      <c r="A74" s="105"/>
      <c r="B74" s="161"/>
      <c r="G74" s="106"/>
    </row>
    <row r="75" spans="1:7" x14ac:dyDescent="0.25">
      <c r="A75" s="105"/>
      <c r="B75" s="161"/>
      <c r="G75" s="106"/>
    </row>
    <row r="76" spans="1:7" x14ac:dyDescent="0.25">
      <c r="A76" s="105"/>
      <c r="B76" s="161"/>
      <c r="G76" s="106"/>
    </row>
    <row r="77" spans="1:7" x14ac:dyDescent="0.25">
      <c r="A77" s="105"/>
      <c r="B77" s="161"/>
      <c r="G77" s="106"/>
    </row>
    <row r="78" spans="1:7" x14ac:dyDescent="0.25">
      <c r="A78" s="105"/>
      <c r="B78" s="161"/>
      <c r="G78" s="106"/>
    </row>
    <row r="79" spans="1:7" x14ac:dyDescent="0.25">
      <c r="A79" s="105"/>
      <c r="B79" s="161"/>
      <c r="G79" s="106"/>
    </row>
    <row r="80" spans="1:7" x14ac:dyDescent="0.25">
      <c r="A80" s="105"/>
      <c r="B80" s="161"/>
      <c r="G80" s="106"/>
    </row>
    <row r="81" spans="1:7" x14ac:dyDescent="0.25">
      <c r="A81" s="105"/>
      <c r="B81" s="161"/>
      <c r="G81" s="106"/>
    </row>
    <row r="82" spans="1:7" x14ac:dyDescent="0.25">
      <c r="A82" s="105"/>
      <c r="B82" s="161"/>
      <c r="G82" s="106"/>
    </row>
    <row r="83" spans="1:7" x14ac:dyDescent="0.25">
      <c r="A83" s="105"/>
      <c r="B83" s="161"/>
      <c r="G83" s="106"/>
    </row>
    <row r="84" spans="1:7" x14ac:dyDescent="0.25">
      <c r="A84" s="105"/>
      <c r="B84" s="161"/>
      <c r="G84" s="106"/>
    </row>
    <row r="85" spans="1:7" x14ac:dyDescent="0.25">
      <c r="A85" s="105"/>
      <c r="B85" s="161"/>
      <c r="G85" s="106"/>
    </row>
    <row r="86" spans="1:7" x14ac:dyDescent="0.25">
      <c r="A86" s="105"/>
      <c r="B86" s="161"/>
      <c r="G86" s="106"/>
    </row>
    <row r="87" spans="1:7" x14ac:dyDescent="0.25">
      <c r="A87" s="105"/>
      <c r="B87" s="161"/>
      <c r="G87" s="106"/>
    </row>
    <row r="88" spans="1:7" x14ac:dyDescent="0.25">
      <c r="A88" s="105"/>
      <c r="B88" s="161"/>
      <c r="G88" s="106"/>
    </row>
    <row r="89" spans="1:7" x14ac:dyDescent="0.25">
      <c r="A89" s="105"/>
      <c r="B89" s="161"/>
      <c r="G89" s="106"/>
    </row>
    <row r="90" spans="1:7" x14ac:dyDescent="0.25">
      <c r="A90" s="105"/>
      <c r="B90" s="161"/>
      <c r="G90" s="106"/>
    </row>
    <row r="91" spans="1:7" x14ac:dyDescent="0.25">
      <c r="A91" s="105"/>
      <c r="B91" s="161"/>
      <c r="G91" s="106"/>
    </row>
    <row r="92" spans="1:7" x14ac:dyDescent="0.25">
      <c r="A92" s="105"/>
      <c r="B92" s="161"/>
      <c r="G92" s="106"/>
    </row>
    <row r="93" spans="1:7" x14ac:dyDescent="0.25">
      <c r="A93" s="105"/>
      <c r="B93" s="161"/>
      <c r="G93" s="106"/>
    </row>
    <row r="94" spans="1:7" x14ac:dyDescent="0.25">
      <c r="A94" s="105"/>
      <c r="B94" s="161"/>
      <c r="G94" s="106"/>
    </row>
    <row r="95" spans="1:7" x14ac:dyDescent="0.25">
      <c r="A95" s="105"/>
      <c r="B95" s="161"/>
      <c r="G95" s="106"/>
    </row>
    <row r="96" spans="1:7" x14ac:dyDescent="0.25">
      <c r="A96" s="105"/>
      <c r="B96" s="161"/>
      <c r="G96" s="106"/>
    </row>
    <row r="97" spans="1:7" x14ac:dyDescent="0.25">
      <c r="A97" s="105"/>
      <c r="B97" s="161"/>
      <c r="G97" s="106"/>
    </row>
    <row r="98" spans="1:7" x14ac:dyDescent="0.25">
      <c r="A98" s="105"/>
      <c r="B98" s="161"/>
      <c r="G98" s="106"/>
    </row>
    <row r="99" spans="1:7" x14ac:dyDescent="0.25">
      <c r="A99" s="105"/>
      <c r="B99" s="161"/>
      <c r="G99" s="106"/>
    </row>
    <row r="100" spans="1:7" x14ac:dyDescent="0.25">
      <c r="A100" s="105"/>
      <c r="B100" s="161"/>
      <c r="G100" s="106"/>
    </row>
    <row r="101" spans="1:7" x14ac:dyDescent="0.25">
      <c r="A101" s="105"/>
      <c r="B101" s="161"/>
      <c r="G101" s="106"/>
    </row>
    <row r="102" spans="1:7" x14ac:dyDescent="0.25">
      <c r="A102" s="105"/>
      <c r="B102" s="161"/>
      <c r="G102" s="106"/>
    </row>
    <row r="103" spans="1:7" x14ac:dyDescent="0.25">
      <c r="A103" s="105"/>
      <c r="B103" s="161"/>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4"/>
      <c r="G210" s="106"/>
    </row>
    <row r="211" spans="1:7" x14ac:dyDescent="0.25">
      <c r="A211" s="109"/>
      <c r="B211" s="125"/>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X2 C2:C211</xm:sqref>
        </x14:dataValidation>
        <x14:dataValidation type="list" allowBlank="1" showInputMessage="1" showErrorMessage="1" xr:uid="{A9552C7D-FFC7-43F7-B86F-D7C2BCF927CA}">
          <x14:formula1>
            <xm:f>DATA!$C$2:$C$5</xm:f>
          </x14:formula1>
          <xm:sqref>AA6:AA7 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D54" sqref="D54"/>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5" hidden="1" customWidth="1"/>
    <col min="56" max="56" width="5.7109375" style="5" customWidth="1"/>
    <col min="57" max="63" width="5.7109375" customWidth="1"/>
    <col min="64" max="69" width="5.7109375" style="5" customWidth="1"/>
    <col min="70" max="82" width="11.42578125" style="5"/>
  </cols>
  <sheetData>
    <row r="1" spans="1:63" ht="21.75" thickBot="1" x14ac:dyDescent="0.3">
      <c r="A1" s="5"/>
      <c r="B1" s="164" t="s">
        <v>46</v>
      </c>
      <c r="C1" s="33">
        <v>0</v>
      </c>
      <c r="D1" s="46" t="s">
        <v>70</v>
      </c>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33">
        <f>C1</f>
        <v>0</v>
      </c>
      <c r="BA1" s="46" t="s">
        <v>70</v>
      </c>
      <c r="BE1" s="5"/>
      <c r="BF1" s="5"/>
      <c r="BG1" s="5"/>
      <c r="BH1" s="5"/>
      <c r="BI1" s="5"/>
      <c r="BJ1" s="5"/>
      <c r="BK1" s="5"/>
    </row>
    <row r="2" spans="1:63" ht="93" thickBot="1" x14ac:dyDescent="0.3">
      <c r="A2" s="145"/>
      <c r="B2" s="146" t="s">
        <v>93</v>
      </c>
      <c r="C2" s="170" t="s">
        <v>439</v>
      </c>
      <c r="D2" s="171" t="s">
        <v>439</v>
      </c>
      <c r="E2" s="170" t="s">
        <v>439</v>
      </c>
      <c r="F2" s="171" t="s">
        <v>439</v>
      </c>
      <c r="G2" s="170" t="s">
        <v>439</v>
      </c>
      <c r="H2" s="171" t="s">
        <v>439</v>
      </c>
      <c r="I2" s="170" t="s">
        <v>439</v>
      </c>
      <c r="J2" s="171" t="s">
        <v>439</v>
      </c>
      <c r="K2" s="170" t="s">
        <v>439</v>
      </c>
      <c r="L2" s="171" t="s">
        <v>439</v>
      </c>
      <c r="M2" s="170" t="s">
        <v>439</v>
      </c>
      <c r="N2" s="171" t="s">
        <v>439</v>
      </c>
      <c r="O2" s="340" t="s">
        <v>439</v>
      </c>
      <c r="P2" s="171" t="s">
        <v>439</v>
      </c>
      <c r="Q2" s="170" t="s">
        <v>439</v>
      </c>
      <c r="R2" s="171" t="s">
        <v>439</v>
      </c>
      <c r="S2" s="170" t="s">
        <v>439</v>
      </c>
      <c r="T2" s="171" t="s">
        <v>439</v>
      </c>
      <c r="U2" s="170" t="s">
        <v>439</v>
      </c>
      <c r="V2" s="171" t="s">
        <v>439</v>
      </c>
      <c r="W2" s="170" t="s">
        <v>439</v>
      </c>
      <c r="X2" s="171" t="s">
        <v>439</v>
      </c>
      <c r="Y2" s="170" t="s">
        <v>439</v>
      </c>
      <c r="Z2" s="171" t="s">
        <v>439</v>
      </c>
      <c r="AA2" s="170" t="s">
        <v>439</v>
      </c>
      <c r="AB2" s="171" t="s">
        <v>439</v>
      </c>
      <c r="AC2" s="170" t="s">
        <v>439</v>
      </c>
      <c r="AD2" s="171" t="s">
        <v>439</v>
      </c>
      <c r="AE2" s="170" t="s">
        <v>439</v>
      </c>
      <c r="AF2" s="171" t="s">
        <v>439</v>
      </c>
      <c r="AG2" s="170" t="s">
        <v>439</v>
      </c>
      <c r="AH2" s="171" t="s">
        <v>439</v>
      </c>
      <c r="AI2" s="170" t="s">
        <v>439</v>
      </c>
      <c r="AJ2" s="171" t="s">
        <v>439</v>
      </c>
      <c r="AK2" s="170" t="s">
        <v>439</v>
      </c>
      <c r="AL2" s="171" t="s">
        <v>439</v>
      </c>
      <c r="AM2" s="170" t="s">
        <v>439</v>
      </c>
      <c r="AN2" s="171" t="s">
        <v>439</v>
      </c>
      <c r="AO2" s="170" t="s">
        <v>439</v>
      </c>
      <c r="AP2" s="171" t="s">
        <v>439</v>
      </c>
      <c r="AQ2" s="170" t="s">
        <v>439</v>
      </c>
      <c r="AR2" s="171" t="s">
        <v>439</v>
      </c>
      <c r="AS2" s="170" t="s">
        <v>439</v>
      </c>
      <c r="AT2" s="171" t="s">
        <v>439</v>
      </c>
      <c r="AU2" s="170" t="s">
        <v>439</v>
      </c>
      <c r="AV2" s="171" t="s">
        <v>439</v>
      </c>
      <c r="AW2" s="170" t="s">
        <v>439</v>
      </c>
      <c r="AX2" s="172" t="s">
        <v>439</v>
      </c>
      <c r="AY2" s="147" t="s">
        <v>439</v>
      </c>
      <c r="AZ2" s="145" t="s">
        <v>439</v>
      </c>
      <c r="BE2" s="165" t="s">
        <v>455</v>
      </c>
      <c r="BF2" s="166"/>
      <c r="BG2" s="165" t="s">
        <v>453</v>
      </c>
      <c r="BH2" s="166"/>
      <c r="BI2" s="165" t="s">
        <v>454</v>
      </c>
      <c r="BJ2" s="167"/>
      <c r="BK2" s="165" t="s">
        <v>397</v>
      </c>
    </row>
    <row r="3" spans="1:63" ht="18.95" customHeight="1" x14ac:dyDescent="0.25">
      <c r="A3" s="5"/>
      <c r="B3" s="148" t="s">
        <v>439</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AZ3" s="5"/>
      <c r="BE3" s="120"/>
      <c r="BF3" s="5"/>
      <c r="BG3" s="120"/>
      <c r="BH3" s="5"/>
      <c r="BI3" s="120"/>
      <c r="BJ3" s="5"/>
      <c r="BK3" s="120"/>
    </row>
    <row r="4" spans="1:63" ht="18.95" customHeight="1" x14ac:dyDescent="0.25">
      <c r="A4" s="5"/>
      <c r="B4" s="149" t="s">
        <v>439</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AZ4" s="5"/>
      <c r="BE4" s="92"/>
      <c r="BF4" s="5"/>
      <c r="BG4" s="92"/>
      <c r="BH4" s="5"/>
      <c r="BI4" s="92"/>
      <c r="BJ4" s="5"/>
      <c r="BK4" s="92"/>
    </row>
    <row r="5" spans="1:63" ht="18.95" customHeight="1" x14ac:dyDescent="0.25">
      <c r="A5" s="5"/>
      <c r="B5" s="173" t="s">
        <v>439</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AZ5" s="5"/>
      <c r="BE5" s="91"/>
      <c r="BF5" s="5"/>
      <c r="BG5" s="91"/>
      <c r="BH5" s="5"/>
      <c r="BI5" s="91"/>
      <c r="BJ5" s="5"/>
      <c r="BK5" s="91"/>
    </row>
    <row r="6" spans="1:63" ht="18.95" customHeight="1" x14ac:dyDescent="0.25">
      <c r="A6" s="5"/>
      <c r="B6" s="149" t="s">
        <v>439</v>
      </c>
      <c r="C6" s="57"/>
      <c r="D6" s="58"/>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AZ6" s="5"/>
      <c r="BE6" s="92"/>
      <c r="BF6" s="5"/>
      <c r="BG6" s="92"/>
      <c r="BH6" s="5"/>
      <c r="BI6" s="92"/>
      <c r="BJ6" s="5"/>
      <c r="BK6" s="92"/>
    </row>
    <row r="7" spans="1:63" ht="18.95" customHeight="1" x14ac:dyDescent="0.25">
      <c r="A7" s="5"/>
      <c r="B7" s="148" t="s">
        <v>439</v>
      </c>
      <c r="C7" s="56"/>
      <c r="D7" s="55"/>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AZ7" s="5"/>
      <c r="BE7" s="91"/>
      <c r="BF7" s="5"/>
      <c r="BG7" s="91"/>
      <c r="BH7" s="5"/>
      <c r="BI7" s="91"/>
      <c r="BJ7" s="5"/>
      <c r="BK7" s="91"/>
    </row>
    <row r="8" spans="1:63" ht="18.95" customHeight="1" x14ac:dyDescent="0.25">
      <c r="A8" s="5"/>
      <c r="B8" s="149" t="s">
        <v>439</v>
      </c>
      <c r="C8" s="57"/>
      <c r="D8" s="58"/>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AZ8" s="5"/>
      <c r="BE8" s="92"/>
      <c r="BF8" s="5"/>
      <c r="BG8" s="92"/>
      <c r="BH8" s="5"/>
      <c r="BI8" s="92"/>
      <c r="BJ8" s="5"/>
      <c r="BK8" s="92"/>
    </row>
    <row r="9" spans="1:63" ht="18.95" customHeight="1" x14ac:dyDescent="0.25">
      <c r="A9" s="5"/>
      <c r="B9" s="148" t="s">
        <v>439</v>
      </c>
      <c r="C9" s="56"/>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AZ9" s="5"/>
      <c r="BE9" s="91"/>
      <c r="BF9" s="5"/>
      <c r="BG9" s="91"/>
      <c r="BH9" s="5"/>
      <c r="BI9" s="91"/>
      <c r="BJ9" s="5"/>
      <c r="BK9" s="91"/>
    </row>
    <row r="10" spans="1:63" ht="18.95" customHeight="1" x14ac:dyDescent="0.25">
      <c r="A10" s="5"/>
      <c r="B10" s="149" t="s">
        <v>439</v>
      </c>
      <c r="C10" s="57"/>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AZ10" s="5"/>
      <c r="BE10" s="92"/>
      <c r="BF10" s="5"/>
      <c r="BG10" s="92"/>
      <c r="BH10" s="5"/>
      <c r="BI10" s="92"/>
      <c r="BJ10" s="5"/>
      <c r="BK10" s="92"/>
    </row>
    <row r="11" spans="1:63" ht="18.95" customHeight="1" x14ac:dyDescent="0.25">
      <c r="A11" s="5"/>
      <c r="B11" s="148" t="s">
        <v>439</v>
      </c>
      <c r="C11" s="56"/>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AZ11" s="5"/>
      <c r="BE11" s="91"/>
      <c r="BF11" s="5"/>
      <c r="BG11" s="91"/>
      <c r="BH11" s="5"/>
      <c r="BI11" s="91"/>
      <c r="BJ11" s="5"/>
      <c r="BK11" s="91"/>
    </row>
    <row r="12" spans="1:63" ht="18.95" customHeight="1" x14ac:dyDescent="0.25">
      <c r="A12" s="5"/>
      <c r="B12" s="149" t="s">
        <v>439</v>
      </c>
      <c r="C12" s="57"/>
      <c r="D12" s="58"/>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AZ12" s="5"/>
      <c r="BE12" s="92"/>
      <c r="BF12" s="5"/>
      <c r="BG12" s="92"/>
      <c r="BH12" s="5"/>
      <c r="BI12" s="92"/>
      <c r="BJ12" s="5"/>
      <c r="BK12" s="92"/>
    </row>
    <row r="13" spans="1:63" ht="18.95" customHeight="1" x14ac:dyDescent="0.25">
      <c r="A13" s="5"/>
      <c r="B13" s="148" t="s">
        <v>439</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AZ13" s="5"/>
      <c r="BE13" s="91"/>
      <c r="BF13" s="168"/>
      <c r="BG13" s="91"/>
      <c r="BH13" s="168"/>
      <c r="BI13" s="91"/>
      <c r="BJ13" s="168"/>
      <c r="BK13" s="91"/>
    </row>
    <row r="14" spans="1:63" ht="18.95" customHeight="1" x14ac:dyDescent="0.25">
      <c r="A14" s="5"/>
      <c r="B14" s="149" t="s">
        <v>439</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AZ14" s="5"/>
      <c r="BE14" s="92"/>
      <c r="BF14" s="168"/>
      <c r="BG14" s="92"/>
      <c r="BH14" s="168"/>
      <c r="BI14" s="92"/>
      <c r="BJ14" s="168"/>
      <c r="BK14" s="92"/>
    </row>
    <row r="15" spans="1:63" ht="18.95" customHeight="1" x14ac:dyDescent="0.25">
      <c r="A15" s="5"/>
      <c r="B15" s="148" t="s">
        <v>439</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AZ15" s="5"/>
      <c r="BE15" s="91"/>
      <c r="BF15" s="168"/>
      <c r="BG15" s="91"/>
      <c r="BH15" s="168"/>
      <c r="BI15" s="91"/>
      <c r="BJ15" s="168"/>
      <c r="BK15" s="91"/>
    </row>
    <row r="16" spans="1:63" ht="18.95" customHeight="1" x14ac:dyDescent="0.25">
      <c r="A16" s="5"/>
      <c r="B16" s="149" t="s">
        <v>439</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AZ16" s="5"/>
      <c r="BE16" s="92"/>
      <c r="BF16" s="168"/>
      <c r="BG16" s="92"/>
      <c r="BH16" s="168"/>
      <c r="BI16" s="92"/>
      <c r="BJ16" s="168"/>
      <c r="BK16" s="92"/>
    </row>
    <row r="17" spans="1:63" ht="18.95" customHeight="1" x14ac:dyDescent="0.25">
      <c r="A17" s="5"/>
      <c r="B17" s="148" t="s">
        <v>439</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AZ17" s="5"/>
      <c r="BE17" s="91"/>
      <c r="BF17" s="168"/>
      <c r="BG17" s="91"/>
      <c r="BH17" s="168"/>
      <c r="BI17" s="91"/>
      <c r="BJ17" s="168"/>
      <c r="BK17" s="91"/>
    </row>
    <row r="18" spans="1:63" ht="18.95" customHeight="1" x14ac:dyDescent="0.25">
      <c r="A18" s="5"/>
      <c r="B18" s="149" t="s">
        <v>439</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AZ18" s="5"/>
      <c r="BE18" s="92"/>
      <c r="BF18" s="168"/>
      <c r="BG18" s="92"/>
      <c r="BH18" s="168"/>
      <c r="BI18" s="92"/>
      <c r="BJ18" s="168"/>
      <c r="BK18" s="92"/>
    </row>
    <row r="19" spans="1:63" ht="18.95" customHeight="1" x14ac:dyDescent="0.25">
      <c r="A19" s="5"/>
      <c r="B19" s="148" t="s">
        <v>439</v>
      </c>
      <c r="C19" s="49"/>
      <c r="D19" s="50"/>
      <c r="E19" s="56"/>
      <c r="F19" s="55"/>
      <c r="G19" s="56"/>
      <c r="H19" s="55"/>
      <c r="I19" s="56"/>
      <c r="J19" s="55"/>
      <c r="K19" s="56"/>
      <c r="L19" s="55"/>
      <c r="M19" s="56"/>
      <c r="N19" s="55"/>
      <c r="O19" s="56"/>
      <c r="P19" s="55"/>
      <c r="Q19" s="56"/>
      <c r="R19" s="55"/>
      <c r="S19" s="56"/>
      <c r="T19" s="55"/>
      <c r="U19" s="56"/>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AZ19" s="5"/>
      <c r="BE19" s="91"/>
      <c r="BF19" s="168"/>
      <c r="BG19" s="91"/>
      <c r="BH19" s="168"/>
      <c r="BI19" s="91"/>
      <c r="BJ19" s="168"/>
      <c r="BK19" s="91"/>
    </row>
    <row r="20" spans="1:63" ht="18.95" customHeight="1" x14ac:dyDescent="0.25">
      <c r="A20" s="5"/>
      <c r="B20" s="149" t="s">
        <v>439</v>
      </c>
      <c r="C20" s="57"/>
      <c r="D20" s="52"/>
      <c r="E20" s="57"/>
      <c r="F20" s="58"/>
      <c r="G20" s="57"/>
      <c r="H20" s="58"/>
      <c r="I20" s="57"/>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AZ20" s="5"/>
      <c r="BE20" s="92"/>
      <c r="BF20" s="168"/>
      <c r="BG20" s="92"/>
      <c r="BH20" s="168"/>
      <c r="BI20" s="92"/>
      <c r="BJ20" s="168"/>
      <c r="BK20" s="92"/>
    </row>
    <row r="21" spans="1:63" ht="18.95" customHeight="1" x14ac:dyDescent="0.25">
      <c r="A21" s="5"/>
      <c r="B21" s="148" t="s">
        <v>439</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AZ21" s="5"/>
      <c r="BE21" s="91"/>
      <c r="BF21" s="168"/>
      <c r="BG21" s="91"/>
      <c r="BH21" s="168"/>
      <c r="BI21" s="91"/>
      <c r="BJ21" s="168"/>
      <c r="BK21" s="91"/>
    </row>
    <row r="22" spans="1:63" ht="18.95" customHeight="1" x14ac:dyDescent="0.25">
      <c r="A22" s="5"/>
      <c r="B22" s="149" t="s">
        <v>439</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AZ22" s="5"/>
      <c r="BE22" s="92"/>
      <c r="BF22" s="168"/>
      <c r="BG22" s="92"/>
      <c r="BH22" s="168"/>
      <c r="BI22" s="92"/>
      <c r="BJ22" s="168"/>
      <c r="BK22" s="92"/>
    </row>
    <row r="23" spans="1:63" ht="18.95" customHeight="1" x14ac:dyDescent="0.25">
      <c r="A23" s="5"/>
      <c r="B23" s="148" t="s">
        <v>439</v>
      </c>
      <c r="C23" s="49"/>
      <c r="D23" s="55"/>
      <c r="E23" s="56"/>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AZ23" s="5"/>
      <c r="BE23" s="91"/>
      <c r="BF23" s="168"/>
      <c r="BG23" s="91"/>
      <c r="BH23" s="168"/>
      <c r="BI23" s="91"/>
      <c r="BJ23" s="168"/>
      <c r="BK23" s="91"/>
    </row>
    <row r="24" spans="1:63" ht="18.95" customHeight="1" x14ac:dyDescent="0.25">
      <c r="A24" s="5"/>
      <c r="B24" s="149" t="s">
        <v>439</v>
      </c>
      <c r="C24" s="51"/>
      <c r="D24" s="52"/>
      <c r="E24" s="57"/>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AZ24" s="5"/>
      <c r="BE24" s="92"/>
      <c r="BF24" s="168"/>
      <c r="BG24" s="92"/>
      <c r="BH24" s="168"/>
      <c r="BI24" s="92"/>
      <c r="BJ24" s="168"/>
      <c r="BK24" s="92"/>
    </row>
    <row r="25" spans="1:63" ht="18.95" customHeight="1" x14ac:dyDescent="0.25">
      <c r="A25" s="5"/>
      <c r="B25" s="148" t="s">
        <v>439</v>
      </c>
      <c r="C25" s="49"/>
      <c r="D25" s="50"/>
      <c r="E25" s="56"/>
      <c r="F25" s="55"/>
      <c r="G25" s="56"/>
      <c r="H25" s="55"/>
      <c r="I25" s="56"/>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AZ25" s="5"/>
      <c r="BE25" s="91"/>
      <c r="BF25" s="168"/>
      <c r="BG25" s="91"/>
      <c r="BH25" s="168"/>
      <c r="BI25" s="91"/>
      <c r="BJ25" s="168"/>
      <c r="BK25" s="91"/>
    </row>
    <row r="26" spans="1:63" ht="18.95" customHeight="1" x14ac:dyDescent="0.25">
      <c r="A26" s="5"/>
      <c r="B26" s="149" t="s">
        <v>439</v>
      </c>
      <c r="C26" s="51"/>
      <c r="D26" s="52"/>
      <c r="E26" s="57"/>
      <c r="F26" s="58"/>
      <c r="G26" s="57"/>
      <c r="H26" s="58"/>
      <c r="I26" s="57"/>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AZ26" s="5"/>
      <c r="BE26" s="92"/>
      <c r="BF26" s="168"/>
      <c r="BG26" s="92"/>
      <c r="BH26" s="168"/>
      <c r="BI26" s="92"/>
      <c r="BJ26" s="168"/>
      <c r="BK26" s="92"/>
    </row>
    <row r="27" spans="1:63" ht="18.95" customHeight="1" x14ac:dyDescent="0.25">
      <c r="A27" s="5"/>
      <c r="B27" s="148" t="s">
        <v>439</v>
      </c>
      <c r="C27" s="49"/>
      <c r="D27" s="50"/>
      <c r="E27" s="56"/>
      <c r="F27" s="55"/>
      <c r="G27" s="56"/>
      <c r="H27" s="55"/>
      <c r="I27" s="56"/>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AZ27" s="5"/>
      <c r="BE27" s="91"/>
      <c r="BF27" s="168"/>
      <c r="BG27" s="91"/>
      <c r="BH27" s="168"/>
      <c r="BI27" s="91"/>
      <c r="BJ27" s="168"/>
      <c r="BK27" s="91"/>
    </row>
    <row r="28" spans="1:63" ht="18.95" customHeight="1" x14ac:dyDescent="0.25">
      <c r="A28" s="5"/>
      <c r="B28" s="149" t="s">
        <v>439</v>
      </c>
      <c r="C28" s="51"/>
      <c r="D28" s="52"/>
      <c r="E28" s="57"/>
      <c r="F28" s="58"/>
      <c r="G28" s="57"/>
      <c r="H28" s="58"/>
      <c r="I28" s="57"/>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AZ28" s="5"/>
      <c r="BE28" s="92"/>
      <c r="BF28" s="168"/>
      <c r="BG28" s="92"/>
      <c r="BH28" s="168"/>
      <c r="BI28" s="92"/>
      <c r="BJ28" s="168"/>
      <c r="BK28" s="92"/>
    </row>
    <row r="29" spans="1:63" ht="18.95" customHeight="1" x14ac:dyDescent="0.25">
      <c r="A29" s="5"/>
      <c r="B29" s="148" t="s">
        <v>439</v>
      </c>
      <c r="C29" s="49"/>
      <c r="D29" s="50"/>
      <c r="E29" s="56"/>
      <c r="F29" s="55"/>
      <c r="G29" s="56"/>
      <c r="H29" s="55"/>
      <c r="I29" s="56"/>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AZ29" s="5"/>
      <c r="BE29" s="91"/>
      <c r="BF29" s="168"/>
      <c r="BG29" s="91"/>
      <c r="BH29" s="168"/>
      <c r="BI29" s="91"/>
      <c r="BJ29" s="168"/>
      <c r="BK29" s="91"/>
    </row>
    <row r="30" spans="1:63" ht="18.95" customHeight="1" x14ac:dyDescent="0.25">
      <c r="A30" s="5"/>
      <c r="B30" s="149" t="s">
        <v>439</v>
      </c>
      <c r="C30" s="51"/>
      <c r="D30" s="52"/>
      <c r="E30" s="57"/>
      <c r="F30" s="58"/>
      <c r="G30" s="57"/>
      <c r="H30" s="58"/>
      <c r="I30" s="57"/>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AZ30" s="5"/>
      <c r="BE30" s="92"/>
      <c r="BF30" s="168"/>
      <c r="BG30" s="92"/>
      <c r="BH30" s="168"/>
      <c r="BI30" s="92"/>
      <c r="BJ30" s="168"/>
      <c r="BK30" s="92"/>
    </row>
    <row r="31" spans="1:63" ht="18.95" customHeight="1" x14ac:dyDescent="0.25">
      <c r="A31" s="5"/>
      <c r="B31" s="148" t="s">
        <v>439</v>
      </c>
      <c r="C31" s="49"/>
      <c r="D31" s="50"/>
      <c r="E31" s="56"/>
      <c r="F31" s="55"/>
      <c r="G31" s="56"/>
      <c r="H31" s="55"/>
      <c r="I31" s="56"/>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AZ31" s="5"/>
      <c r="BE31" s="91"/>
      <c r="BF31" s="168"/>
      <c r="BG31" s="91"/>
      <c r="BH31" s="168"/>
      <c r="BI31" s="91"/>
      <c r="BJ31" s="168"/>
      <c r="BK31" s="91"/>
    </row>
    <row r="32" spans="1:63" ht="18.95" customHeight="1" x14ac:dyDescent="0.25">
      <c r="A32" s="5"/>
      <c r="B32" s="149" t="s">
        <v>439</v>
      </c>
      <c r="C32" s="51"/>
      <c r="D32" s="52"/>
      <c r="E32" s="57"/>
      <c r="F32" s="58"/>
      <c r="G32" s="57"/>
      <c r="H32" s="58"/>
      <c r="I32" s="57"/>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AZ32" s="5"/>
      <c r="BE32" s="92"/>
      <c r="BF32" s="168"/>
      <c r="BG32" s="92"/>
      <c r="BH32" s="168"/>
      <c r="BI32" s="92"/>
      <c r="BJ32" s="168"/>
      <c r="BK32" s="92"/>
    </row>
    <row r="33" spans="1:63" ht="18.95" customHeight="1" x14ac:dyDescent="0.25">
      <c r="A33" s="5"/>
      <c r="B33" s="148" t="s">
        <v>439</v>
      </c>
      <c r="C33" s="49"/>
      <c r="D33" s="50"/>
      <c r="E33" s="56"/>
      <c r="F33" s="55"/>
      <c r="G33" s="56"/>
      <c r="H33" s="55"/>
      <c r="I33" s="56"/>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AZ33" s="5"/>
      <c r="BE33" s="91"/>
      <c r="BF33" s="168"/>
      <c r="BG33" s="91"/>
      <c r="BH33" s="168"/>
      <c r="BI33" s="91"/>
      <c r="BJ33" s="168"/>
      <c r="BK33" s="91"/>
    </row>
    <row r="34" spans="1:63" ht="18.95" customHeight="1" x14ac:dyDescent="0.25">
      <c r="A34" s="5"/>
      <c r="B34" s="149" t="s">
        <v>439</v>
      </c>
      <c r="C34" s="51"/>
      <c r="D34" s="52"/>
      <c r="E34" s="57"/>
      <c r="F34" s="58"/>
      <c r="G34" s="57"/>
      <c r="H34" s="58"/>
      <c r="I34" s="57"/>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AZ34" s="5"/>
      <c r="BE34" s="92"/>
      <c r="BF34" s="168"/>
      <c r="BG34" s="92"/>
      <c r="BH34" s="168"/>
      <c r="BI34" s="92"/>
      <c r="BJ34" s="168"/>
      <c r="BK34" s="92"/>
    </row>
    <row r="35" spans="1:63" ht="18.95" customHeight="1" x14ac:dyDescent="0.25">
      <c r="A35" s="5"/>
      <c r="B35" s="148" t="s">
        <v>439</v>
      </c>
      <c r="C35" s="49"/>
      <c r="D35" s="50"/>
      <c r="E35" s="56"/>
      <c r="F35" s="55"/>
      <c r="G35" s="56"/>
      <c r="H35" s="55"/>
      <c r="I35" s="56"/>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AZ35" s="5"/>
      <c r="BE35" s="91"/>
      <c r="BF35" s="168"/>
      <c r="BG35" s="91"/>
      <c r="BH35" s="168"/>
      <c r="BI35" s="91"/>
      <c r="BJ35" s="168"/>
      <c r="BK35" s="91"/>
    </row>
    <row r="36" spans="1:63" ht="18.95" customHeight="1" x14ac:dyDescent="0.25">
      <c r="A36" s="5"/>
      <c r="B36" s="149" t="s">
        <v>439</v>
      </c>
      <c r="C36" s="51"/>
      <c r="D36" s="52"/>
      <c r="E36" s="57"/>
      <c r="F36" s="58"/>
      <c r="G36" s="57"/>
      <c r="H36" s="58"/>
      <c r="I36" s="57"/>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AZ36" s="5"/>
      <c r="BE36" s="92"/>
      <c r="BF36" s="168"/>
      <c r="BG36" s="92"/>
      <c r="BH36" s="168"/>
      <c r="BI36" s="92"/>
      <c r="BJ36" s="168"/>
      <c r="BK36" s="92"/>
    </row>
    <row r="37" spans="1:63" ht="18.95" customHeight="1" x14ac:dyDescent="0.25">
      <c r="A37" s="5"/>
      <c r="B37" s="148" t="s">
        <v>439</v>
      </c>
      <c r="C37" s="49"/>
      <c r="D37" s="50"/>
      <c r="E37" s="56"/>
      <c r="F37" s="55"/>
      <c r="G37" s="56"/>
      <c r="H37" s="55"/>
      <c r="I37" s="56"/>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AZ37" s="5"/>
      <c r="BE37" s="91"/>
      <c r="BF37" s="168"/>
      <c r="BG37" s="91"/>
      <c r="BH37" s="168"/>
      <c r="BI37" s="91"/>
      <c r="BJ37" s="168"/>
      <c r="BK37" s="91"/>
    </row>
    <row r="38" spans="1:63" ht="18.95" customHeight="1" x14ac:dyDescent="0.25">
      <c r="A38" s="5"/>
      <c r="B38" s="149" t="s">
        <v>439</v>
      </c>
      <c r="C38" s="51"/>
      <c r="D38" s="52"/>
      <c r="E38" s="57"/>
      <c r="F38" s="58"/>
      <c r="G38" s="57"/>
      <c r="H38" s="58"/>
      <c r="I38" s="57"/>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AZ38" s="5"/>
      <c r="BE38" s="92"/>
      <c r="BF38" s="168"/>
      <c r="BG38" s="92"/>
      <c r="BH38" s="168"/>
      <c r="BI38" s="92"/>
      <c r="BJ38" s="168"/>
      <c r="BK38" s="92"/>
    </row>
    <row r="39" spans="1:63" ht="18.95" customHeight="1" x14ac:dyDescent="0.25">
      <c r="A39" s="5"/>
      <c r="B39" s="148" t="s">
        <v>439</v>
      </c>
      <c r="C39" s="49"/>
      <c r="D39" s="50"/>
      <c r="E39" s="56"/>
      <c r="F39" s="55"/>
      <c r="G39" s="56"/>
      <c r="H39" s="55"/>
      <c r="I39" s="56"/>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AZ39" s="5"/>
      <c r="BE39" s="91"/>
      <c r="BF39" s="168"/>
      <c r="BG39" s="91"/>
      <c r="BH39" s="168"/>
      <c r="BI39" s="91"/>
      <c r="BJ39" s="168"/>
      <c r="BK39" s="91"/>
    </row>
    <row r="40" spans="1:63" ht="18.95" customHeight="1" x14ac:dyDescent="0.25">
      <c r="A40" s="5"/>
      <c r="B40" s="149" t="s">
        <v>439</v>
      </c>
      <c r="C40" s="51"/>
      <c r="D40" s="52"/>
      <c r="E40" s="57"/>
      <c r="F40" s="58"/>
      <c r="G40" s="57"/>
      <c r="H40" s="58"/>
      <c r="I40" s="57"/>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AZ40" s="5"/>
      <c r="BE40" s="92"/>
      <c r="BF40" s="168"/>
      <c r="BG40" s="92"/>
      <c r="BH40" s="168"/>
      <c r="BI40" s="92"/>
      <c r="BJ40" s="168"/>
      <c r="BK40" s="92"/>
    </row>
    <row r="41" spans="1:63" ht="18.95" customHeight="1" x14ac:dyDescent="0.25">
      <c r="A41" s="5"/>
      <c r="B41" s="148" t="s">
        <v>439</v>
      </c>
      <c r="C41" s="49"/>
      <c r="D41" s="50"/>
      <c r="E41" s="56"/>
      <c r="F41" s="55"/>
      <c r="G41" s="56"/>
      <c r="H41" s="55"/>
      <c r="I41" s="56"/>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AZ41" s="5"/>
      <c r="BE41" s="91"/>
      <c r="BF41" s="168"/>
      <c r="BG41" s="91"/>
      <c r="BH41" s="168"/>
      <c r="BI41" s="91"/>
      <c r="BJ41" s="168"/>
      <c r="BK41" s="91"/>
    </row>
    <row r="42" spans="1:63" ht="18.95" customHeight="1" x14ac:dyDescent="0.25">
      <c r="A42" s="5"/>
      <c r="B42" s="149" t="s">
        <v>439</v>
      </c>
      <c r="C42" s="51"/>
      <c r="D42" s="52"/>
      <c r="E42" s="57"/>
      <c r="F42" s="58"/>
      <c r="G42" s="57"/>
      <c r="H42" s="58"/>
      <c r="I42" s="57"/>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AZ42" s="5"/>
      <c r="BE42" s="92"/>
      <c r="BF42" s="168"/>
      <c r="BG42" s="92"/>
      <c r="BH42" s="168"/>
      <c r="BI42" s="92"/>
      <c r="BJ42" s="168"/>
      <c r="BK42" s="92"/>
    </row>
    <row r="43" spans="1:63" ht="18.95" customHeight="1" x14ac:dyDescent="0.25">
      <c r="A43" s="5"/>
      <c r="B43" s="148" t="s">
        <v>439</v>
      </c>
      <c r="C43" s="49"/>
      <c r="D43" s="50"/>
      <c r="E43" s="56"/>
      <c r="F43" s="55"/>
      <c r="G43" s="56"/>
      <c r="H43" s="55"/>
      <c r="I43" s="56"/>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AZ43" s="5"/>
      <c r="BE43" s="91"/>
      <c r="BF43" s="168"/>
      <c r="BG43" s="91"/>
      <c r="BH43" s="168"/>
      <c r="BI43" s="91"/>
      <c r="BJ43" s="168"/>
      <c r="BK43" s="91"/>
    </row>
    <row r="44" spans="1:63" ht="18.95" customHeight="1" x14ac:dyDescent="0.25">
      <c r="A44" s="5"/>
      <c r="B44" s="149" t="s">
        <v>439</v>
      </c>
      <c r="C44" s="51"/>
      <c r="D44" s="52"/>
      <c r="E44" s="57"/>
      <c r="F44" s="58"/>
      <c r="G44" s="57"/>
      <c r="H44" s="58"/>
      <c r="I44" s="57"/>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AZ44" s="5"/>
      <c r="BE44" s="92"/>
      <c r="BF44" s="168"/>
      <c r="BG44" s="92"/>
      <c r="BH44" s="168"/>
      <c r="BI44" s="92"/>
      <c r="BJ44" s="168"/>
      <c r="BK44" s="92"/>
    </row>
    <row r="45" spans="1:63" ht="18.95" customHeight="1" x14ac:dyDescent="0.25">
      <c r="A45" s="5"/>
      <c r="B45" s="148" t="s">
        <v>439</v>
      </c>
      <c r="C45" s="49"/>
      <c r="D45" s="50"/>
      <c r="E45" s="56"/>
      <c r="F45" s="55"/>
      <c r="G45" s="56"/>
      <c r="H45" s="55"/>
      <c r="I45" s="56"/>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AZ45" s="5"/>
      <c r="BE45" s="91"/>
      <c r="BF45" s="168"/>
      <c r="BG45" s="91"/>
      <c r="BH45" s="168"/>
      <c r="BI45" s="91"/>
      <c r="BJ45" s="168"/>
      <c r="BK45" s="91"/>
    </row>
    <row r="46" spans="1:63" ht="18.95" customHeight="1" x14ac:dyDescent="0.25">
      <c r="A46" s="5"/>
      <c r="B46" s="149" t="s">
        <v>439</v>
      </c>
      <c r="C46" s="51"/>
      <c r="D46" s="52"/>
      <c r="E46" s="57"/>
      <c r="F46" s="58"/>
      <c r="G46" s="57"/>
      <c r="H46" s="58"/>
      <c r="I46" s="57"/>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AZ46" s="5"/>
      <c r="BE46" s="92"/>
      <c r="BF46" s="168"/>
      <c r="BG46" s="92"/>
      <c r="BH46" s="168"/>
      <c r="BI46" s="92"/>
      <c r="BJ46" s="168"/>
      <c r="BK46" s="92"/>
    </row>
    <row r="47" spans="1:63" ht="18.95" customHeight="1" x14ac:dyDescent="0.25">
      <c r="A47" s="5"/>
      <c r="B47" s="148" t="s">
        <v>439</v>
      </c>
      <c r="C47" s="49"/>
      <c r="D47" s="50"/>
      <c r="E47" s="56"/>
      <c r="F47" s="55"/>
      <c r="G47" s="56"/>
      <c r="H47" s="55"/>
      <c r="I47" s="56"/>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AZ47" s="5"/>
      <c r="BE47" s="91"/>
      <c r="BF47" s="168"/>
      <c r="BG47" s="91"/>
      <c r="BH47" s="168"/>
      <c r="BI47" s="91"/>
      <c r="BJ47" s="168"/>
      <c r="BK47" s="91"/>
    </row>
    <row r="48" spans="1:63" ht="18.95" customHeight="1" x14ac:dyDescent="0.25">
      <c r="A48" s="5"/>
      <c r="B48" s="149" t="s">
        <v>439</v>
      </c>
      <c r="C48" s="51"/>
      <c r="D48" s="52"/>
      <c r="E48" s="57"/>
      <c r="F48" s="58"/>
      <c r="G48" s="57"/>
      <c r="H48" s="58"/>
      <c r="I48" s="57"/>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AZ48" s="5"/>
      <c r="BE48" s="92"/>
      <c r="BF48" s="168"/>
      <c r="BG48" s="92"/>
      <c r="BH48" s="168"/>
      <c r="BI48" s="92"/>
      <c r="BJ48" s="168"/>
      <c r="BK48" s="92"/>
    </row>
    <row r="49" spans="1:63" ht="18.95" customHeight="1" x14ac:dyDescent="0.25">
      <c r="A49" s="5"/>
      <c r="B49" s="148" t="s">
        <v>439</v>
      </c>
      <c r="C49" s="49"/>
      <c r="D49" s="50"/>
      <c r="E49" s="56"/>
      <c r="F49" s="55"/>
      <c r="G49" s="56"/>
      <c r="H49" s="55"/>
      <c r="I49" s="56"/>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AZ49" s="5"/>
      <c r="BE49" s="91"/>
      <c r="BF49" s="168"/>
      <c r="BG49" s="91"/>
      <c r="BH49" s="168"/>
      <c r="BI49" s="91"/>
      <c r="BJ49" s="168"/>
      <c r="BK49" s="91"/>
    </row>
    <row r="50" spans="1:63" ht="18.95" customHeight="1" thickBot="1" x14ac:dyDescent="0.3">
      <c r="A50" s="5"/>
      <c r="B50" s="150" t="s">
        <v>439</v>
      </c>
      <c r="C50" s="53"/>
      <c r="D50" s="54"/>
      <c r="E50" s="169"/>
      <c r="F50" s="65"/>
      <c r="G50" s="169"/>
      <c r="H50" s="65"/>
      <c r="I50" s="169"/>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AZ50" s="5"/>
      <c r="BE50" s="119"/>
      <c r="BF50" s="168"/>
      <c r="BG50" s="119"/>
      <c r="BH50" s="168"/>
      <c r="BI50" s="119"/>
      <c r="BJ50" s="168"/>
      <c r="BK50" s="119"/>
    </row>
    <row r="51" spans="1:63" ht="18.95" customHeight="1" x14ac:dyDescent="0.25">
      <c r="A51" s="5"/>
      <c r="B51" s="151" t="s">
        <v>439</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5"/>
      <c r="AZ51" s="5"/>
      <c r="BE51" s="60"/>
      <c r="BF51" s="5"/>
      <c r="BG51" s="60"/>
      <c r="BH51" s="5"/>
      <c r="BI51" s="60"/>
      <c r="BJ51" s="5"/>
      <c r="BK51" s="60"/>
    </row>
    <row r="52" spans="1:63" ht="18.95" customHeight="1" x14ac:dyDescent="0.25">
      <c r="A52" s="5"/>
      <c r="B52" s="152" t="s">
        <v>439</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E52" s="5"/>
      <c r="BF52" s="5"/>
      <c r="BG52" s="5"/>
      <c r="BH52" s="5"/>
      <c r="BI52" s="5"/>
      <c r="BJ52" s="5"/>
      <c r="BK52" s="5"/>
    </row>
    <row r="53" spans="1:63" ht="18.95" customHeight="1" x14ac:dyDescent="0.25">
      <c r="A53" s="5"/>
      <c r="B53" s="152" t="s">
        <v>439</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E53" s="5"/>
      <c r="BF53" s="5"/>
      <c r="BG53" s="5"/>
      <c r="BH53" s="5"/>
      <c r="BI53" s="5"/>
      <c r="BJ53" s="5"/>
      <c r="BK53" s="5"/>
    </row>
    <row r="54" spans="1:63" ht="18.95" customHeight="1" x14ac:dyDescent="0.25">
      <c r="A54" s="5"/>
      <c r="B54" s="152" t="s">
        <v>439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E54" s="5"/>
      <c r="BF54" s="5"/>
      <c r="BG54" s="5"/>
      <c r="BH54" s="5"/>
      <c r="BI54" s="5"/>
      <c r="BJ54" s="5"/>
      <c r="BK54" s="5"/>
    </row>
    <row r="55" spans="1:63" ht="18.95" customHeight="1" x14ac:dyDescent="0.25">
      <c r="A55" s="5"/>
      <c r="B55" s="152" t="s">
        <v>439</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E55" s="5"/>
      <c r="BF55" s="5"/>
      <c r="BG55" s="5"/>
      <c r="BH55" s="5"/>
      <c r="BI55" s="5"/>
      <c r="BJ55" s="5"/>
      <c r="BK55" s="5"/>
    </row>
    <row r="56" spans="1:63" ht="18.95" customHeight="1" x14ac:dyDescent="0.25">
      <c r="A56" s="5"/>
      <c r="B56" s="152" t="s">
        <v>439</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E56" s="5"/>
      <c r="BF56" s="5"/>
      <c r="BG56" s="5"/>
      <c r="BH56" s="5"/>
      <c r="BI56" s="5"/>
      <c r="BJ56" s="5"/>
      <c r="BK56" s="5"/>
    </row>
    <row r="57" spans="1:63" s="5" customFormat="1" x14ac:dyDescent="0.25"/>
    <row r="58" spans="1:63" s="5" customFormat="1" x14ac:dyDescent="0.25"/>
    <row r="59" spans="1:63" s="5" customFormat="1" x14ac:dyDescent="0.25"/>
    <row r="60" spans="1:63" s="5" customFormat="1" x14ac:dyDescent="0.25"/>
    <row r="61" spans="1:63" s="5" customFormat="1" x14ac:dyDescent="0.25"/>
    <row r="62" spans="1:63" s="5" customFormat="1" x14ac:dyDescent="0.25"/>
    <row r="63" spans="1:63" s="5" customFormat="1" x14ac:dyDescent="0.25"/>
    <row r="64" spans="1:63" s="5" customFormat="1" x14ac:dyDescent="0.25"/>
    <row r="65" s="5" customFormat="1" x14ac:dyDescent="0.25"/>
    <row r="66" s="5" customFormat="1" x14ac:dyDescent="0.25"/>
    <row r="67" s="5" customFormat="1" x14ac:dyDescent="0.25"/>
    <row r="68" s="5" customFormat="1" x14ac:dyDescent="0.25"/>
    <row r="69" s="5" customFormat="1" x14ac:dyDescent="0.25"/>
    <row r="70" s="5" customFormat="1" x14ac:dyDescent="0.25"/>
    <row r="71" s="5" customFormat="1" x14ac:dyDescent="0.25"/>
    <row r="72" s="5" customFormat="1" x14ac:dyDescent="0.25"/>
    <row r="73" s="5" customFormat="1" x14ac:dyDescent="0.25"/>
    <row r="74" s="5" customFormat="1" x14ac:dyDescent="0.25"/>
    <row r="75" s="5" customFormat="1" x14ac:dyDescent="0.25"/>
    <row r="76" s="5" customFormat="1" x14ac:dyDescent="0.25"/>
    <row r="77" s="5" customFormat="1" x14ac:dyDescent="0.25"/>
    <row r="78" s="5" customFormat="1" x14ac:dyDescent="0.25"/>
    <row r="79" s="5" customFormat="1" x14ac:dyDescent="0.25"/>
    <row r="80" s="5" customFormat="1" x14ac:dyDescent="0.25"/>
    <row r="81" s="5" customFormat="1" x14ac:dyDescent="0.25"/>
    <row r="82" s="5" customFormat="1" x14ac:dyDescent="0.25"/>
    <row r="83" s="5" customFormat="1" x14ac:dyDescent="0.25"/>
    <row r="84" s="5" customFormat="1" x14ac:dyDescent="0.25"/>
    <row r="85" s="5" customFormat="1" x14ac:dyDescent="0.25"/>
    <row r="86" s="5" customFormat="1" x14ac:dyDescent="0.25"/>
    <row r="87" s="5" customFormat="1" x14ac:dyDescent="0.25"/>
    <row r="88" s="5" customFormat="1" x14ac:dyDescent="0.25"/>
    <row r="89" s="5" customFormat="1" x14ac:dyDescent="0.25"/>
    <row r="90" s="5" customFormat="1" x14ac:dyDescent="0.25"/>
    <row r="91" s="5" customFormat="1" x14ac:dyDescent="0.25"/>
    <row r="92" s="5" customFormat="1" x14ac:dyDescent="0.25"/>
    <row r="93" s="5" customFormat="1" x14ac:dyDescent="0.25"/>
    <row r="94" s="5" customFormat="1" x14ac:dyDescent="0.25"/>
    <row r="95" s="5" customFormat="1" x14ac:dyDescent="0.25"/>
    <row r="96" s="5" customFormat="1" x14ac:dyDescent="0.25"/>
    <row r="97" s="5" customFormat="1" x14ac:dyDescent="0.25"/>
    <row r="98" s="5" customFormat="1" x14ac:dyDescent="0.25"/>
    <row r="99" s="5" customFormat="1" x14ac:dyDescent="0.25"/>
    <row r="100" s="5" customFormat="1" x14ac:dyDescent="0.25"/>
    <row r="101" s="5" customFormat="1" x14ac:dyDescent="0.25"/>
    <row r="102" s="5" customFormat="1" x14ac:dyDescent="0.25"/>
    <row r="103" s="5" customFormat="1" x14ac:dyDescent="0.25"/>
    <row r="104" s="5" customFormat="1" x14ac:dyDescent="0.25"/>
    <row r="105" s="5" customFormat="1" x14ac:dyDescent="0.25"/>
    <row r="106" s="5" customFormat="1" x14ac:dyDescent="0.25"/>
    <row r="107" s="5" customFormat="1" x14ac:dyDescent="0.25"/>
    <row r="108" s="5" customFormat="1" x14ac:dyDescent="0.25"/>
    <row r="109" s="5" customFormat="1" x14ac:dyDescent="0.25"/>
    <row r="110" s="5" customFormat="1" x14ac:dyDescent="0.25"/>
    <row r="111" s="5" customFormat="1" x14ac:dyDescent="0.25"/>
    <row r="112" s="5" customFormat="1" x14ac:dyDescent="0.25"/>
    <row r="113" s="5" customFormat="1" x14ac:dyDescent="0.25"/>
    <row r="114" s="5" customFormat="1" x14ac:dyDescent="0.25"/>
    <row r="115" s="5" customFormat="1" x14ac:dyDescent="0.25"/>
    <row r="116" s="5" customFormat="1" x14ac:dyDescent="0.25"/>
    <row r="117" s="5" customFormat="1" x14ac:dyDescent="0.25"/>
    <row r="118" s="5" customFormat="1" x14ac:dyDescent="0.25"/>
    <row r="119" s="5" customFormat="1" x14ac:dyDescent="0.25"/>
    <row r="120" s="5" customFormat="1" x14ac:dyDescent="0.25"/>
    <row r="121" s="5" customFormat="1" x14ac:dyDescent="0.25"/>
    <row r="122" s="5" customFormat="1" x14ac:dyDescent="0.25"/>
    <row r="123" s="5" customFormat="1" x14ac:dyDescent="0.25"/>
    <row r="124" s="5" customFormat="1" x14ac:dyDescent="0.25"/>
    <row r="125" s="5" customFormat="1" x14ac:dyDescent="0.25"/>
    <row r="126" s="5" customFormat="1" x14ac:dyDescent="0.25"/>
    <row r="127" s="5" customFormat="1" x14ac:dyDescent="0.25"/>
    <row r="128" s="5" customFormat="1" x14ac:dyDescent="0.25"/>
    <row r="129" s="5" customFormat="1" x14ac:dyDescent="0.25"/>
    <row r="130" s="5" customFormat="1" x14ac:dyDescent="0.25"/>
    <row r="131" s="5" customFormat="1" x14ac:dyDescent="0.25"/>
    <row r="132" s="5" customFormat="1" x14ac:dyDescent="0.25"/>
    <row r="133" s="5" customFormat="1" x14ac:dyDescent="0.25"/>
    <row r="134" s="5" customFormat="1" x14ac:dyDescent="0.25"/>
    <row r="135" s="5" customFormat="1" x14ac:dyDescent="0.25"/>
    <row r="136" s="5" customFormat="1" x14ac:dyDescent="0.25"/>
    <row r="137" s="5" customFormat="1" x14ac:dyDescent="0.25"/>
    <row r="138" s="5" customFormat="1" x14ac:dyDescent="0.25"/>
    <row r="139" s="5" customFormat="1" x14ac:dyDescent="0.25"/>
    <row r="140" s="5" customFormat="1" x14ac:dyDescent="0.25"/>
    <row r="141" s="5" customFormat="1" x14ac:dyDescent="0.25"/>
    <row r="142" s="5" customFormat="1" x14ac:dyDescent="0.25"/>
    <row r="143" s="5" customFormat="1" x14ac:dyDescent="0.25"/>
    <row r="144" s="5" customFormat="1" x14ac:dyDescent="0.25"/>
    <row r="145" s="5" customFormat="1" x14ac:dyDescent="0.25"/>
    <row r="146" s="5" customFormat="1" x14ac:dyDescent="0.25"/>
    <row r="147" s="5" customFormat="1" x14ac:dyDescent="0.25"/>
    <row r="148" s="5" customFormat="1" x14ac:dyDescent="0.25"/>
    <row r="149" s="5" customFormat="1" x14ac:dyDescent="0.25"/>
    <row r="150" s="5" customFormat="1" x14ac:dyDescent="0.25"/>
    <row r="151" s="5" customFormat="1" x14ac:dyDescent="0.25"/>
    <row r="152" s="5" customFormat="1" x14ac:dyDescent="0.25"/>
    <row r="153" s="5" customFormat="1" x14ac:dyDescent="0.25"/>
    <row r="154" s="5" customFormat="1" x14ac:dyDescent="0.25"/>
    <row r="155" s="5" customFormat="1" x14ac:dyDescent="0.25"/>
    <row r="156" s="5" customFormat="1" x14ac:dyDescent="0.25"/>
    <row r="157" s="5" customFormat="1" x14ac:dyDescent="0.25"/>
    <row r="158" s="5" customFormat="1" x14ac:dyDescent="0.25"/>
    <row r="159" s="5" customFormat="1" x14ac:dyDescent="0.25"/>
    <row r="160" s="5" customFormat="1" x14ac:dyDescent="0.25"/>
    <row r="161" s="5" customFormat="1" x14ac:dyDescent="0.25"/>
    <row r="162" s="5" customFormat="1" x14ac:dyDescent="0.25"/>
    <row r="163" s="5" customFormat="1" x14ac:dyDescent="0.25"/>
    <row r="164" s="5" customFormat="1" x14ac:dyDescent="0.25"/>
    <row r="165" s="5" customFormat="1" x14ac:dyDescent="0.25"/>
    <row r="166" s="5" customFormat="1" x14ac:dyDescent="0.25"/>
    <row r="167" s="5" customFormat="1" x14ac:dyDescent="0.25"/>
    <row r="168" s="5" customFormat="1" x14ac:dyDescent="0.25"/>
    <row r="169" s="5" customFormat="1" x14ac:dyDescent="0.25"/>
    <row r="170" s="5" customFormat="1" x14ac:dyDescent="0.25"/>
    <row r="171" s="5" customFormat="1" x14ac:dyDescent="0.25"/>
    <row r="172" s="5" customFormat="1" x14ac:dyDescent="0.25"/>
    <row r="173" s="5" customFormat="1" x14ac:dyDescent="0.25"/>
    <row r="174" s="5" customFormat="1" x14ac:dyDescent="0.25"/>
    <row r="175" s="5" customFormat="1" x14ac:dyDescent="0.25"/>
    <row r="176" s="5" customFormat="1" x14ac:dyDescent="0.25"/>
    <row r="177" s="5" customFormat="1" x14ac:dyDescent="0.25"/>
    <row r="178" s="5" customFormat="1" x14ac:dyDescent="0.25"/>
    <row r="179" s="5" customFormat="1" x14ac:dyDescent="0.25"/>
    <row r="180" s="5" customFormat="1" x14ac:dyDescent="0.25"/>
    <row r="181" s="5" customFormat="1" x14ac:dyDescent="0.25"/>
    <row r="182" s="5" customFormat="1" x14ac:dyDescent="0.25"/>
    <row r="183" s="5" customFormat="1" x14ac:dyDescent="0.25"/>
    <row r="184" s="5" customFormat="1" x14ac:dyDescent="0.25"/>
    <row r="185" s="5" customFormat="1" x14ac:dyDescent="0.25"/>
    <row r="186" s="5" customFormat="1" x14ac:dyDescent="0.25"/>
    <row r="187" s="5" customFormat="1" x14ac:dyDescent="0.25"/>
    <row r="188" s="5" customFormat="1" x14ac:dyDescent="0.25"/>
    <row r="189" s="5" customFormat="1" x14ac:dyDescent="0.25"/>
    <row r="190" s="5" customFormat="1" x14ac:dyDescent="0.25"/>
    <row r="191" s="5" customFormat="1" x14ac:dyDescent="0.25"/>
    <row r="192" s="5" customFormat="1" x14ac:dyDescent="0.25"/>
    <row r="193" s="5" customFormat="1" x14ac:dyDescent="0.25"/>
    <row r="194" s="5" customFormat="1" x14ac:dyDescent="0.25"/>
    <row r="195" s="5" customFormat="1" x14ac:dyDescent="0.25"/>
    <row r="196" s="5" customFormat="1" x14ac:dyDescent="0.25"/>
    <row r="197" s="5" customFormat="1" x14ac:dyDescent="0.25"/>
    <row r="198" s="5" customFormat="1" x14ac:dyDescent="0.25"/>
    <row r="199" s="5" customFormat="1" x14ac:dyDescent="0.25"/>
    <row r="200" s="5" customFormat="1" x14ac:dyDescent="0.25"/>
    <row r="201" s="5" customFormat="1" x14ac:dyDescent="0.25"/>
    <row r="202" s="5" customFormat="1" x14ac:dyDescent="0.25"/>
    <row r="203" s="5" customFormat="1" x14ac:dyDescent="0.25"/>
    <row r="204" s="5" customFormat="1" x14ac:dyDescent="0.25"/>
    <row r="205" s="5" customFormat="1" x14ac:dyDescent="0.25"/>
    <row r="206" s="5" customFormat="1" x14ac:dyDescent="0.25"/>
    <row r="207" s="5" customFormat="1" x14ac:dyDescent="0.25"/>
    <row r="208" s="5" customFormat="1" x14ac:dyDescent="0.25"/>
    <row r="209" s="5" customFormat="1" x14ac:dyDescent="0.25"/>
    <row r="210" s="5" customFormat="1" x14ac:dyDescent="0.25"/>
    <row r="211" s="5" customFormat="1" x14ac:dyDescent="0.25"/>
    <row r="212" s="5" customFormat="1" x14ac:dyDescent="0.25"/>
    <row r="213" s="5" customFormat="1" x14ac:dyDescent="0.25"/>
    <row r="214" s="5" customFormat="1" x14ac:dyDescent="0.25"/>
    <row r="215" s="5" customFormat="1" x14ac:dyDescent="0.25"/>
    <row r="216" s="5" customFormat="1" x14ac:dyDescent="0.25"/>
    <row r="217" s="5" customFormat="1" x14ac:dyDescent="0.25"/>
    <row r="218" s="5" customFormat="1" x14ac:dyDescent="0.25"/>
    <row r="219" s="5" customFormat="1" x14ac:dyDescent="0.25"/>
    <row r="220" s="5" customFormat="1" x14ac:dyDescent="0.25"/>
    <row r="221" s="5" customFormat="1" x14ac:dyDescent="0.25"/>
    <row r="222" s="5" customFormat="1" x14ac:dyDescent="0.25"/>
    <row r="223" s="5" customFormat="1" x14ac:dyDescent="0.25"/>
    <row r="224" s="5" customFormat="1" x14ac:dyDescent="0.25"/>
    <row r="225" s="5" customFormat="1" x14ac:dyDescent="0.25"/>
    <row r="226" s="5" customFormat="1" x14ac:dyDescent="0.25"/>
    <row r="227" s="5" customFormat="1" x14ac:dyDescent="0.25"/>
    <row r="228" s="5" customFormat="1" x14ac:dyDescent="0.25"/>
    <row r="229" s="5" customFormat="1" x14ac:dyDescent="0.25"/>
    <row r="230" s="5" customFormat="1" x14ac:dyDescent="0.25"/>
    <row r="231" s="5" customFormat="1" x14ac:dyDescent="0.25"/>
    <row r="232" s="5" customFormat="1" x14ac:dyDescent="0.25"/>
    <row r="233" s="5" customFormat="1" x14ac:dyDescent="0.25"/>
    <row r="234" s="5" customFormat="1" x14ac:dyDescent="0.25"/>
    <row r="235" s="5" customFormat="1" x14ac:dyDescent="0.25"/>
    <row r="236" s="5" customFormat="1" x14ac:dyDescent="0.25"/>
    <row r="237" s="5" customFormat="1" x14ac:dyDescent="0.25"/>
    <row r="238" s="5" customFormat="1" x14ac:dyDescent="0.25"/>
    <row r="239" s="5" customFormat="1" x14ac:dyDescent="0.25"/>
    <row r="240" s="5" customFormat="1" x14ac:dyDescent="0.25"/>
    <row r="241" s="5" customFormat="1" x14ac:dyDescent="0.25"/>
    <row r="242" s="5" customFormat="1" x14ac:dyDescent="0.25"/>
    <row r="243" s="5" customFormat="1" x14ac:dyDescent="0.25"/>
    <row r="244" s="5" customFormat="1" x14ac:dyDescent="0.25"/>
    <row r="245" s="5" customFormat="1" x14ac:dyDescent="0.25"/>
    <row r="246" s="5" customFormat="1" x14ac:dyDescent="0.25"/>
    <row r="247" s="5" customFormat="1" x14ac:dyDescent="0.25"/>
    <row r="248" s="5" customFormat="1" x14ac:dyDescent="0.25"/>
    <row r="249" s="5" customFormat="1" x14ac:dyDescent="0.25"/>
    <row r="250" s="5" customFormat="1" x14ac:dyDescent="0.25"/>
    <row r="251" s="5" customFormat="1" x14ac:dyDescent="0.25"/>
    <row r="252" s="5" customFormat="1" x14ac:dyDescent="0.25"/>
    <row r="253" s="5" customFormat="1" x14ac:dyDescent="0.25"/>
    <row r="254" s="5" customFormat="1" x14ac:dyDescent="0.25"/>
    <row r="255" s="5" customFormat="1" x14ac:dyDescent="0.25"/>
    <row r="256" s="5" customFormat="1" x14ac:dyDescent="0.25"/>
    <row r="257" s="5" customFormat="1" x14ac:dyDescent="0.25"/>
    <row r="258" s="5" customFormat="1" x14ac:dyDescent="0.25"/>
    <row r="259" s="5" customFormat="1" x14ac:dyDescent="0.25"/>
    <row r="260" s="5" customFormat="1" x14ac:dyDescent="0.25"/>
    <row r="261" s="5" customFormat="1" x14ac:dyDescent="0.25"/>
    <row r="262" s="5" customFormat="1" x14ac:dyDescent="0.25"/>
    <row r="263" s="5" customFormat="1" x14ac:dyDescent="0.25"/>
    <row r="264" s="5"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workbookViewId="0">
      <selection activeCell="G33" sqref="G33"/>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56" customWidth="1"/>
    <col min="36" max="38" width="11.42578125" style="3"/>
    <col min="39" max="39" width="14.42578125" style="3" customWidth="1"/>
    <col min="40" max="42" width="11.42578125" style="3"/>
    <col min="43" max="43" width="22.85546875" style="3" customWidth="1"/>
    <col min="44" max="44" width="22.85546875" style="12" customWidth="1"/>
    <col min="45" max="16384" width="11.42578125" style="3"/>
  </cols>
  <sheetData>
    <row r="1" spans="1:4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55" t="s">
        <v>440</v>
      </c>
      <c r="AM1" s="67" t="s">
        <v>458</v>
      </c>
      <c r="AN1" s="9" t="s">
        <v>637</v>
      </c>
      <c r="AP1" s="67" t="s">
        <v>638</v>
      </c>
      <c r="AQ1" s="9" t="s">
        <v>639</v>
      </c>
      <c r="AR1" s="35" t="s">
        <v>180</v>
      </c>
      <c r="AS1" s="9" t="s">
        <v>38</v>
      </c>
    </row>
    <row r="2" spans="1:45" x14ac:dyDescent="0.25">
      <c r="A2" s="37" t="s">
        <v>77</v>
      </c>
      <c r="B2" s="4">
        <v>8</v>
      </c>
      <c r="C2" s="37" t="s">
        <v>81</v>
      </c>
      <c r="D2" s="4">
        <v>1</v>
      </c>
      <c r="F2" s="11" t="s">
        <v>1</v>
      </c>
      <c r="H2" s="4"/>
      <c r="K2" s="12" t="s">
        <v>53</v>
      </c>
      <c r="L2" s="13">
        <v>2</v>
      </c>
      <c r="N2" s="11" t="s">
        <v>388</v>
      </c>
      <c r="O2" s="37" t="s">
        <v>63</v>
      </c>
      <c r="P2" s="3" t="s">
        <v>278</v>
      </c>
      <c r="Q2" s="3" t="s">
        <v>92</v>
      </c>
      <c r="R2" s="44" t="s">
        <v>371</v>
      </c>
      <c r="S2" s="37" t="s">
        <v>66</v>
      </c>
      <c r="T2" s="3" t="s">
        <v>88</v>
      </c>
      <c r="U2" s="3" t="s">
        <v>90</v>
      </c>
      <c r="W2" s="68" t="s">
        <v>113</v>
      </c>
      <c r="AB2" s="37" t="s">
        <v>113</v>
      </c>
      <c r="AI2" s="157">
        <v>4</v>
      </c>
      <c r="AM2" t="s">
        <v>459</v>
      </c>
      <c r="AN2" s="174">
        <v>14539162</v>
      </c>
      <c r="AP2" s="3" t="s">
        <v>640</v>
      </c>
      <c r="AQ2" s="3" t="s">
        <v>646</v>
      </c>
      <c r="AR2" s="12" t="s">
        <v>647</v>
      </c>
      <c r="AS2" s="3" t="s">
        <v>645</v>
      </c>
    </row>
    <row r="3" spans="1:45" x14ac:dyDescent="0.25">
      <c r="A3" s="37" t="s">
        <v>78</v>
      </c>
      <c r="B3" s="4">
        <v>2</v>
      </c>
      <c r="C3" s="37" t="s">
        <v>84</v>
      </c>
      <c r="D3" s="4">
        <v>11</v>
      </c>
      <c r="F3" s="11" t="s">
        <v>2</v>
      </c>
      <c r="H3" s="4"/>
      <c r="K3" s="12" t="s">
        <v>52</v>
      </c>
      <c r="L3" s="13" t="s">
        <v>66</v>
      </c>
      <c r="N3" s="11" t="s">
        <v>389</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57">
        <v>2</v>
      </c>
      <c r="AM3" t="s">
        <v>460</v>
      </c>
      <c r="AN3" s="175">
        <v>7357431</v>
      </c>
      <c r="AP3" s="3" t="s">
        <v>641</v>
      </c>
      <c r="AQ3" s="3" t="s">
        <v>648</v>
      </c>
      <c r="AR3" s="12" t="s">
        <v>649</v>
      </c>
      <c r="AS3" s="3" t="s">
        <v>645</v>
      </c>
    </row>
    <row r="4" spans="1:45" x14ac:dyDescent="0.25">
      <c r="A4" s="37" t="s">
        <v>79</v>
      </c>
      <c r="B4" s="4">
        <v>1</v>
      </c>
      <c r="C4" s="37" t="s">
        <v>82</v>
      </c>
      <c r="D4" s="4">
        <v>10</v>
      </c>
      <c r="F4" s="11" t="s">
        <v>3</v>
      </c>
      <c r="H4" s="4"/>
      <c r="K4" s="12" t="s">
        <v>51</v>
      </c>
      <c r="L4" s="13">
        <v>75</v>
      </c>
      <c r="M4" s="3" t="s">
        <v>47</v>
      </c>
      <c r="N4" s="11" t="s">
        <v>390</v>
      </c>
      <c r="O4" s="37" t="s">
        <v>64</v>
      </c>
      <c r="P4" s="3" t="s">
        <v>281</v>
      </c>
      <c r="Q4" s="3" t="s">
        <v>95</v>
      </c>
      <c r="W4" s="68" t="s">
        <v>114</v>
      </c>
      <c r="X4" s="3" t="s">
        <v>111</v>
      </c>
      <c r="Y4" s="12" t="s">
        <v>127</v>
      </c>
      <c r="Z4" s="12" t="s">
        <v>141</v>
      </c>
      <c r="AB4" s="37" t="s">
        <v>265</v>
      </c>
      <c r="AC4" s="3" t="s">
        <v>214</v>
      </c>
      <c r="AD4" s="12" t="s">
        <v>215</v>
      </c>
      <c r="AE4" s="12" t="s">
        <v>216</v>
      </c>
      <c r="AI4" s="157" t="b">
        <v>0</v>
      </c>
      <c r="AM4"/>
      <c r="AN4"/>
      <c r="AP4" s="3" t="s">
        <v>642</v>
      </c>
      <c r="AQ4" s="3" t="s">
        <v>650</v>
      </c>
      <c r="AR4" s="12" t="s">
        <v>651</v>
      </c>
      <c r="AS4" s="3" t="s">
        <v>645</v>
      </c>
    </row>
    <row r="5" spans="1:45" x14ac:dyDescent="0.25">
      <c r="A5" s="37" t="s">
        <v>80</v>
      </c>
      <c r="B5" s="4">
        <v>3</v>
      </c>
      <c r="C5" s="37" t="s">
        <v>83</v>
      </c>
      <c r="D5" s="4">
        <v>4</v>
      </c>
      <c r="F5" s="11" t="s">
        <v>4</v>
      </c>
      <c r="H5" s="4"/>
      <c r="K5" s="12" t="s">
        <v>50</v>
      </c>
      <c r="L5" s="13">
        <v>0</v>
      </c>
      <c r="N5" s="44" t="s">
        <v>391</v>
      </c>
      <c r="O5" s="37" t="s">
        <v>102</v>
      </c>
      <c r="P5" s="3" t="s">
        <v>282</v>
      </c>
      <c r="Q5" s="3" t="s">
        <v>107</v>
      </c>
      <c r="W5" s="68" t="s">
        <v>120</v>
      </c>
      <c r="X5" s="3" t="s">
        <v>123</v>
      </c>
      <c r="Y5" s="12" t="s">
        <v>128</v>
      </c>
      <c r="Z5" s="12" t="s">
        <v>141</v>
      </c>
      <c r="AB5" s="37" t="s">
        <v>256</v>
      </c>
      <c r="AC5" s="3" t="s">
        <v>187</v>
      </c>
      <c r="AD5" s="12" t="s">
        <v>188</v>
      </c>
      <c r="AE5" s="12" t="s">
        <v>192</v>
      </c>
      <c r="AI5" s="157">
        <v>4</v>
      </c>
      <c r="AM5" t="s">
        <v>461</v>
      </c>
      <c r="AN5" s="176">
        <v>1964530</v>
      </c>
      <c r="AP5" s="3" t="s">
        <v>643</v>
      </c>
      <c r="AQ5" s="3" t="s">
        <v>652</v>
      </c>
      <c r="AR5" s="12" t="s">
        <v>653</v>
      </c>
      <c r="AS5" s="3" t="s">
        <v>645</v>
      </c>
    </row>
    <row r="6" spans="1:45" x14ac:dyDescent="0.25">
      <c r="H6" s="4"/>
      <c r="K6" s="12" t="s">
        <v>49</v>
      </c>
      <c r="L6" s="90" t="s">
        <v>63</v>
      </c>
      <c r="N6" s="44" t="s">
        <v>399</v>
      </c>
      <c r="O6" s="37" t="s">
        <v>376</v>
      </c>
      <c r="P6" s="3" t="s">
        <v>386</v>
      </c>
      <c r="Q6" s="3" t="s">
        <v>387</v>
      </c>
      <c r="W6" s="68" t="s">
        <v>115</v>
      </c>
      <c r="X6" s="3" t="s">
        <v>124</v>
      </c>
      <c r="Y6" s="12" t="s">
        <v>129</v>
      </c>
      <c r="AB6" s="37" t="s">
        <v>189</v>
      </c>
      <c r="AC6" s="3" t="s">
        <v>190</v>
      </c>
      <c r="AD6" s="12" t="s">
        <v>191</v>
      </c>
      <c r="AE6" s="12" t="s">
        <v>192</v>
      </c>
      <c r="AI6" s="157">
        <v>14277081</v>
      </c>
      <c r="AM6" t="s">
        <v>462</v>
      </c>
      <c r="AN6" s="177">
        <v>13288807</v>
      </c>
      <c r="AP6" s="3" t="s">
        <v>644</v>
      </c>
      <c r="AQ6" s="3" t="s">
        <v>654</v>
      </c>
      <c r="AR6" s="12" t="s">
        <v>655</v>
      </c>
      <c r="AS6" s="3" t="s">
        <v>645</v>
      </c>
    </row>
    <row r="7" spans="1:45" x14ac:dyDescent="0.25">
      <c r="H7" s="4"/>
      <c r="K7" s="12" t="s">
        <v>71</v>
      </c>
      <c r="L7" s="13" t="b">
        <v>1</v>
      </c>
      <c r="N7" s="44" t="s">
        <v>398</v>
      </c>
      <c r="O7" s="37" t="s">
        <v>65</v>
      </c>
      <c r="P7" s="3" t="s">
        <v>283</v>
      </c>
      <c r="Q7" s="3" t="s">
        <v>106</v>
      </c>
      <c r="W7" s="68" t="s">
        <v>116</v>
      </c>
      <c r="X7" s="3" t="s">
        <v>125</v>
      </c>
      <c r="Y7" s="12" t="s">
        <v>130</v>
      </c>
      <c r="AB7" s="37" t="s">
        <v>257</v>
      </c>
      <c r="AC7" s="3" t="s">
        <v>193</v>
      </c>
      <c r="AD7" s="12" t="s">
        <v>194</v>
      </c>
      <c r="AE7" s="12" t="s">
        <v>195</v>
      </c>
      <c r="AI7" s="157">
        <v>0</v>
      </c>
      <c r="AM7" t="s">
        <v>463</v>
      </c>
      <c r="AN7" s="178">
        <v>9289881</v>
      </c>
    </row>
    <row r="8" spans="1:45" x14ac:dyDescent="0.25">
      <c r="H8" s="4"/>
      <c r="K8" s="158" t="s">
        <v>72</v>
      </c>
      <c r="L8" s="159" t="b">
        <v>1</v>
      </c>
      <c r="N8" s="44" t="s">
        <v>367</v>
      </c>
      <c r="O8" s="37" t="s">
        <v>366</v>
      </c>
      <c r="P8" s="3" t="s">
        <v>368</v>
      </c>
      <c r="Q8" s="3" t="s">
        <v>370</v>
      </c>
      <c r="W8" s="68" t="s">
        <v>117</v>
      </c>
      <c r="X8" s="3" t="s">
        <v>126</v>
      </c>
      <c r="Y8" s="12" t="s">
        <v>131</v>
      </c>
      <c r="AB8" s="37" t="s">
        <v>258</v>
      </c>
      <c r="AC8" s="3" t="s">
        <v>196</v>
      </c>
      <c r="AD8" s="12" t="s">
        <v>197</v>
      </c>
      <c r="AE8" s="12" t="s">
        <v>198</v>
      </c>
      <c r="AI8" s="157">
        <v>0.75</v>
      </c>
      <c r="AM8" t="s">
        <v>464</v>
      </c>
      <c r="AN8" s="179">
        <v>6501879</v>
      </c>
    </row>
    <row r="9" spans="1:45" x14ac:dyDescent="0.25">
      <c r="H9" s="4"/>
      <c r="K9" s="12" t="s">
        <v>73</v>
      </c>
      <c r="L9" s="13">
        <v>150000</v>
      </c>
      <c r="N9" s="44" t="s">
        <v>385</v>
      </c>
      <c r="O9" s="37" t="s">
        <v>108</v>
      </c>
      <c r="P9" s="3" t="s">
        <v>284</v>
      </c>
      <c r="Q9" s="3" t="s">
        <v>369</v>
      </c>
      <c r="W9" s="68" t="s">
        <v>118</v>
      </c>
      <c r="X9" s="3" t="s">
        <v>133</v>
      </c>
      <c r="Y9" s="12" t="s">
        <v>132</v>
      </c>
      <c r="AB9" s="37" t="s">
        <v>259</v>
      </c>
      <c r="AC9" s="3" t="s">
        <v>199</v>
      </c>
      <c r="AD9" s="12" t="s">
        <v>200</v>
      </c>
      <c r="AE9" s="12" t="s">
        <v>198</v>
      </c>
      <c r="AI9" s="157" t="b">
        <v>0</v>
      </c>
      <c r="AM9" t="s">
        <v>465</v>
      </c>
      <c r="AN9" s="180">
        <v>8324336</v>
      </c>
    </row>
    <row r="10" spans="1:45" x14ac:dyDescent="0.25">
      <c r="H10" s="4"/>
      <c r="K10" s="158" t="s">
        <v>74</v>
      </c>
      <c r="L10" s="159" t="b">
        <v>0</v>
      </c>
      <c r="W10" s="68" t="s">
        <v>119</v>
      </c>
      <c r="X10" s="3" t="s">
        <v>134</v>
      </c>
      <c r="Y10" s="12" t="s">
        <v>135</v>
      </c>
      <c r="AB10" s="37" t="s">
        <v>260</v>
      </c>
      <c r="AC10" s="3" t="s">
        <v>201</v>
      </c>
      <c r="AD10" s="12" t="s">
        <v>202</v>
      </c>
      <c r="AE10" s="12" t="s">
        <v>203</v>
      </c>
      <c r="AI10" s="157">
        <v>1</v>
      </c>
      <c r="AM10" t="s">
        <v>466</v>
      </c>
      <c r="AN10" s="181">
        <v>8258222</v>
      </c>
    </row>
    <row r="11" spans="1:45" x14ac:dyDescent="0.25">
      <c r="H11" s="4"/>
      <c r="K11" s="158" t="s">
        <v>85</v>
      </c>
      <c r="L11" s="159" t="b">
        <v>0</v>
      </c>
      <c r="W11" s="68" t="s">
        <v>177</v>
      </c>
      <c r="X11" s="3" t="s">
        <v>151</v>
      </c>
      <c r="Y11" s="12" t="s">
        <v>152</v>
      </c>
      <c r="Z11" s="12" t="s">
        <v>142</v>
      </c>
      <c r="AB11" s="37" t="s">
        <v>261</v>
      </c>
      <c r="AC11" s="3" t="s">
        <v>204</v>
      </c>
      <c r="AD11" s="12" t="s">
        <v>205</v>
      </c>
      <c r="AE11" s="12" t="s">
        <v>206</v>
      </c>
      <c r="AI11" s="157">
        <v>15921906</v>
      </c>
      <c r="AM11"/>
      <c r="AN11"/>
    </row>
    <row r="12" spans="1:45" x14ac:dyDescent="0.25">
      <c r="H12" s="4"/>
      <c r="K12" s="12" t="s">
        <v>94</v>
      </c>
      <c r="L12" s="13" t="s">
        <v>138</v>
      </c>
      <c r="W12" s="68" t="s">
        <v>176</v>
      </c>
      <c r="X12" s="3" t="s">
        <v>153</v>
      </c>
      <c r="Y12" s="12" t="s">
        <v>154</v>
      </c>
      <c r="Z12" s="12" t="s">
        <v>143</v>
      </c>
      <c r="AB12" s="37" t="s">
        <v>262</v>
      </c>
      <c r="AC12" s="3" t="s">
        <v>207</v>
      </c>
      <c r="AD12" s="12" t="s">
        <v>208</v>
      </c>
      <c r="AE12" s="12" t="s">
        <v>206</v>
      </c>
      <c r="AI12" s="157">
        <v>-2147483648</v>
      </c>
      <c r="AM12" t="s">
        <v>467</v>
      </c>
      <c r="AN12" s="182">
        <v>8387065</v>
      </c>
    </row>
    <row r="13" spans="1:45" x14ac:dyDescent="0.25">
      <c r="H13" s="4"/>
      <c r="K13" s="12" t="s">
        <v>97</v>
      </c>
      <c r="L13" s="13" t="s">
        <v>98</v>
      </c>
      <c r="W13" s="68" t="s">
        <v>169</v>
      </c>
      <c r="X13" s="3" t="s">
        <v>166</v>
      </c>
      <c r="Y13" s="12" t="s">
        <v>165</v>
      </c>
      <c r="Z13" s="12" t="s">
        <v>144</v>
      </c>
      <c r="AB13" s="37" t="s">
        <v>263</v>
      </c>
      <c r="AC13" s="3" t="s">
        <v>209</v>
      </c>
      <c r="AD13" s="12" t="s">
        <v>210</v>
      </c>
      <c r="AE13" s="12" t="s">
        <v>174</v>
      </c>
      <c r="AI13" s="157">
        <v>0.75</v>
      </c>
      <c r="AM13" t="s">
        <v>468</v>
      </c>
      <c r="AN13" s="183">
        <v>1697535</v>
      </c>
    </row>
    <row r="14" spans="1:45" x14ac:dyDescent="0.25">
      <c r="H14" s="4"/>
      <c r="K14" s="12" t="s">
        <v>96</v>
      </c>
      <c r="L14" s="13" t="s">
        <v>456</v>
      </c>
      <c r="W14" s="68" t="s">
        <v>175</v>
      </c>
      <c r="X14" s="3" t="s">
        <v>173</v>
      </c>
      <c r="Y14" s="12" t="s">
        <v>179</v>
      </c>
      <c r="Z14" s="12" t="s">
        <v>174</v>
      </c>
      <c r="AB14" s="37" t="s">
        <v>264</v>
      </c>
      <c r="AC14" s="3" t="s">
        <v>211</v>
      </c>
      <c r="AD14" s="12" t="s">
        <v>212</v>
      </c>
      <c r="AE14" s="12" t="s">
        <v>213</v>
      </c>
      <c r="AI14" s="157">
        <v>0</v>
      </c>
      <c r="AM14" t="s">
        <v>469</v>
      </c>
      <c r="AN14" s="184">
        <v>5413629</v>
      </c>
    </row>
    <row r="15" spans="1:45" x14ac:dyDescent="0.25">
      <c r="H15" s="4"/>
      <c r="K15" s="12" t="s">
        <v>100</v>
      </c>
      <c r="L15" s="13">
        <v>14</v>
      </c>
      <c r="W15" s="68" t="s">
        <v>145</v>
      </c>
      <c r="X15" s="3" t="s">
        <v>167</v>
      </c>
      <c r="Y15" s="12" t="s">
        <v>168</v>
      </c>
      <c r="AB15" s="37" t="s">
        <v>266</v>
      </c>
      <c r="AC15" s="3" t="s">
        <v>217</v>
      </c>
      <c r="AD15" s="12" t="s">
        <v>218</v>
      </c>
      <c r="AE15" s="12" t="s">
        <v>219</v>
      </c>
      <c r="AI15" s="157">
        <v>0</v>
      </c>
      <c r="AM15" t="s">
        <v>470</v>
      </c>
      <c r="AN15" s="185">
        <v>5162623</v>
      </c>
    </row>
    <row r="16" spans="1:45" x14ac:dyDescent="0.25">
      <c r="H16" s="4"/>
      <c r="K16" s="12" t="s">
        <v>101</v>
      </c>
      <c r="L16" s="13"/>
      <c r="W16" s="68" t="s">
        <v>172</v>
      </c>
      <c r="X16" s="3" t="s">
        <v>155</v>
      </c>
      <c r="Y16" s="12" t="s">
        <v>156</v>
      </c>
      <c r="Z16" s="12" t="s">
        <v>146</v>
      </c>
      <c r="AB16" s="37" t="s">
        <v>267</v>
      </c>
      <c r="AC16" s="3" t="s">
        <v>220</v>
      </c>
      <c r="AD16" s="12" t="s">
        <v>221</v>
      </c>
      <c r="AE16" s="12" t="s">
        <v>222</v>
      </c>
      <c r="AI16" s="157">
        <v>0.75</v>
      </c>
      <c r="AM16" t="s">
        <v>471</v>
      </c>
      <c r="AN16" s="186">
        <v>13218356</v>
      </c>
    </row>
    <row r="17" spans="8:40" x14ac:dyDescent="0.25">
      <c r="H17" s="4"/>
      <c r="K17" s="12" t="s">
        <v>103</v>
      </c>
      <c r="L17" s="13">
        <v>0</v>
      </c>
      <c r="W17" s="68" t="s">
        <v>148</v>
      </c>
      <c r="X17" s="3" t="s">
        <v>157</v>
      </c>
      <c r="Y17" s="12" t="s">
        <v>158</v>
      </c>
      <c r="Z17" s="12" t="s">
        <v>147</v>
      </c>
      <c r="AB17" s="37" t="s">
        <v>268</v>
      </c>
      <c r="AC17" s="3" t="s">
        <v>223</v>
      </c>
      <c r="AD17" s="12" t="s">
        <v>224</v>
      </c>
      <c r="AE17" s="12" t="s">
        <v>222</v>
      </c>
      <c r="AI17" s="157">
        <v>4</v>
      </c>
      <c r="AM17" t="s">
        <v>472</v>
      </c>
      <c r="AN17" s="187">
        <v>9579393</v>
      </c>
    </row>
    <row r="18" spans="8:40" x14ac:dyDescent="0.25">
      <c r="H18" s="144"/>
      <c r="K18" s="12" t="s">
        <v>104</v>
      </c>
      <c r="L18" s="13">
        <v>1000</v>
      </c>
      <c r="W18" s="68" t="s">
        <v>171</v>
      </c>
      <c r="X18" s="3" t="s">
        <v>159</v>
      </c>
      <c r="Y18" s="12" t="s">
        <v>160</v>
      </c>
      <c r="Z18" s="12" t="s">
        <v>149</v>
      </c>
      <c r="AB18" s="37" t="s">
        <v>269</v>
      </c>
      <c r="AC18" s="3" t="s">
        <v>225</v>
      </c>
      <c r="AD18" s="12" t="s">
        <v>226</v>
      </c>
      <c r="AE18" s="12" t="s">
        <v>227</v>
      </c>
      <c r="AI18" s="157">
        <v>0</v>
      </c>
      <c r="AM18" t="s">
        <v>473</v>
      </c>
      <c r="AN18" s="188">
        <v>2638064</v>
      </c>
    </row>
    <row r="19" spans="8:40" x14ac:dyDescent="0.25">
      <c r="H19" s="4"/>
      <c r="K19" s="12" t="s">
        <v>105</v>
      </c>
      <c r="L19" s="13" t="b">
        <v>0</v>
      </c>
      <c r="W19" s="68" t="s">
        <v>170</v>
      </c>
      <c r="X19" s="3" t="s">
        <v>161</v>
      </c>
      <c r="Y19" s="12" t="s">
        <v>162</v>
      </c>
      <c r="Z19" s="12" t="s">
        <v>150</v>
      </c>
      <c r="AB19" s="37" t="s">
        <v>270</v>
      </c>
      <c r="AC19" s="3" t="s">
        <v>228</v>
      </c>
      <c r="AD19" s="12" t="s">
        <v>229</v>
      </c>
      <c r="AE19" s="12" t="s">
        <v>227</v>
      </c>
      <c r="AI19" s="157">
        <v>0</v>
      </c>
      <c r="AM19" t="s">
        <v>474</v>
      </c>
      <c r="AN19" s="189">
        <v>10069351</v>
      </c>
    </row>
    <row r="20" spans="8:40" x14ac:dyDescent="0.25">
      <c r="H20" s="4"/>
      <c r="K20" s="12" t="s">
        <v>181</v>
      </c>
      <c r="L20" s="13" t="b">
        <v>0</v>
      </c>
      <c r="W20" s="68" t="s">
        <v>178</v>
      </c>
      <c r="X20" s="3" t="s">
        <v>163</v>
      </c>
      <c r="Y20" s="12" t="s">
        <v>164</v>
      </c>
      <c r="Z20" s="12" t="s">
        <v>150</v>
      </c>
      <c r="AB20" s="37" t="s">
        <v>230</v>
      </c>
      <c r="AC20" s="3" t="s">
        <v>231</v>
      </c>
      <c r="AD20" s="12" t="s">
        <v>232</v>
      </c>
      <c r="AE20" s="12" t="s">
        <v>233</v>
      </c>
      <c r="AI20" s="157">
        <v>4</v>
      </c>
      <c r="AM20" t="s">
        <v>475</v>
      </c>
      <c r="AN20" s="190">
        <v>3640523</v>
      </c>
    </row>
    <row r="21" spans="8:40" x14ac:dyDescent="0.25">
      <c r="H21" s="4"/>
      <c r="K21" s="12" t="s">
        <v>137</v>
      </c>
      <c r="L21" s="13" t="b">
        <v>1</v>
      </c>
      <c r="W21" s="68"/>
      <c r="AB21" s="37" t="s">
        <v>271</v>
      </c>
      <c r="AC21" s="3" t="s">
        <v>234</v>
      </c>
      <c r="AD21" s="12" t="s">
        <v>235</v>
      </c>
      <c r="AE21" s="12" t="s">
        <v>236</v>
      </c>
      <c r="AI21" s="157">
        <v>2</v>
      </c>
      <c r="AM21" t="s">
        <v>476</v>
      </c>
      <c r="AN21" s="191">
        <v>11985331</v>
      </c>
    </row>
    <row r="22" spans="8:40" x14ac:dyDescent="0.25">
      <c r="H22" s="4"/>
      <c r="K22" s="12" t="s">
        <v>182</v>
      </c>
      <c r="L22" s="13" t="b">
        <v>0</v>
      </c>
      <c r="W22" s="68"/>
      <c r="AB22" s="37" t="s">
        <v>272</v>
      </c>
      <c r="AC22" s="3" t="s">
        <v>237</v>
      </c>
      <c r="AD22" s="12" t="s">
        <v>238</v>
      </c>
      <c r="AE22" s="12" t="s">
        <v>236</v>
      </c>
      <c r="AI22" s="157" t="b">
        <v>0</v>
      </c>
      <c r="AM22" t="s">
        <v>477</v>
      </c>
      <c r="AN22" s="192">
        <v>7377408</v>
      </c>
    </row>
    <row r="23" spans="8:40" x14ac:dyDescent="0.25">
      <c r="H23" s="4"/>
      <c r="K23" s="12" t="s">
        <v>330</v>
      </c>
      <c r="L23" s="13" t="b">
        <v>0</v>
      </c>
      <c r="W23" s="68"/>
      <c r="AB23" s="37" t="s">
        <v>273</v>
      </c>
      <c r="AC23" s="3" t="s">
        <v>239</v>
      </c>
      <c r="AD23" s="12" t="s">
        <v>240</v>
      </c>
      <c r="AE23" s="12" t="s">
        <v>236</v>
      </c>
      <c r="AI23" s="157">
        <v>1</v>
      </c>
      <c r="AM23" t="s">
        <v>478</v>
      </c>
      <c r="AN23" s="193">
        <v>5677183</v>
      </c>
    </row>
    <row r="24" spans="8:40" x14ac:dyDescent="0.25">
      <c r="H24" s="4"/>
      <c r="K24" s="12" t="s">
        <v>331</v>
      </c>
      <c r="L24" s="13" t="b">
        <v>0</v>
      </c>
      <c r="W24" s="68"/>
      <c r="AB24" s="37" t="s">
        <v>274</v>
      </c>
      <c r="AC24" s="3" t="s">
        <v>241</v>
      </c>
      <c r="AD24" s="12" t="s">
        <v>242</v>
      </c>
      <c r="AE24" s="12" t="s">
        <v>236</v>
      </c>
      <c r="AI24" s="157">
        <v>14277081</v>
      </c>
      <c r="AM24" t="s">
        <v>479</v>
      </c>
      <c r="AN24" s="194">
        <v>4371454</v>
      </c>
    </row>
    <row r="25" spans="8:40" x14ac:dyDescent="0.25">
      <c r="H25" s="4"/>
      <c r="K25" s="12" t="s">
        <v>442</v>
      </c>
      <c r="L25" s="13" t="s">
        <v>445</v>
      </c>
      <c r="W25" s="68"/>
      <c r="AB25" s="37" t="s">
        <v>276</v>
      </c>
      <c r="AC25" s="3" t="s">
        <v>243</v>
      </c>
      <c r="AD25" s="12" t="s">
        <v>244</v>
      </c>
      <c r="AE25" s="12" t="s">
        <v>245</v>
      </c>
      <c r="AI25" s="157">
        <v>-2147483648</v>
      </c>
      <c r="AM25" t="s">
        <v>480</v>
      </c>
      <c r="AN25" s="195">
        <v>6468861</v>
      </c>
    </row>
    <row r="26" spans="8:40" x14ac:dyDescent="0.25">
      <c r="H26" s="4"/>
      <c r="K26" s="12" t="s">
        <v>443</v>
      </c>
      <c r="L26" s="89" t="s">
        <v>452</v>
      </c>
      <c r="W26" s="68"/>
      <c r="AB26" s="37" t="s">
        <v>275</v>
      </c>
      <c r="AC26" s="3" t="s">
        <v>246</v>
      </c>
      <c r="AD26" s="12" t="s">
        <v>247</v>
      </c>
      <c r="AE26" s="12" t="s">
        <v>245</v>
      </c>
      <c r="AI26" s="157">
        <v>0.75</v>
      </c>
      <c r="AM26" t="s">
        <v>481</v>
      </c>
      <c r="AN26" s="175">
        <v>7357431</v>
      </c>
    </row>
    <row r="27" spans="8:40" x14ac:dyDescent="0.25">
      <c r="H27" s="4"/>
      <c r="K27" s="12" t="s">
        <v>373</v>
      </c>
      <c r="L27" s="89" t="s">
        <v>457</v>
      </c>
      <c r="W27" s="68"/>
      <c r="AB27" s="37" t="s">
        <v>277</v>
      </c>
      <c r="AC27" s="3" t="s">
        <v>248</v>
      </c>
      <c r="AD27" s="12" t="s">
        <v>249</v>
      </c>
      <c r="AE27" s="12" t="s">
        <v>245</v>
      </c>
      <c r="AI27" s="157" t="b">
        <v>0</v>
      </c>
      <c r="AM27" t="s">
        <v>482</v>
      </c>
      <c r="AN27" s="196">
        <v>12688377</v>
      </c>
    </row>
    <row r="28" spans="8:40" x14ac:dyDescent="0.25">
      <c r="H28" s="4"/>
      <c r="K28" s="12" t="s">
        <v>374</v>
      </c>
      <c r="L28" s="13">
        <v>21.819724498665398</v>
      </c>
      <c r="W28" s="68"/>
      <c r="AB28" s="37" t="s">
        <v>250</v>
      </c>
      <c r="AC28" s="3" t="s">
        <v>251</v>
      </c>
      <c r="AD28" s="12" t="s">
        <v>252</v>
      </c>
      <c r="AE28" s="12" t="s">
        <v>253</v>
      </c>
      <c r="AI28" s="157">
        <v>1</v>
      </c>
      <c r="AM28" t="s">
        <v>483</v>
      </c>
      <c r="AN28" s="197">
        <v>11102455</v>
      </c>
    </row>
    <row r="29" spans="8:40" x14ac:dyDescent="0.25">
      <c r="H29" s="4"/>
      <c r="K29" s="12" t="s">
        <v>375</v>
      </c>
      <c r="L29" s="13">
        <v>68.741263389433513</v>
      </c>
      <c r="W29" s="68"/>
      <c r="AB29" s="37"/>
      <c r="AI29" s="157">
        <v>15921906</v>
      </c>
      <c r="AM29" t="s">
        <v>484</v>
      </c>
      <c r="AN29" s="198">
        <v>10437876</v>
      </c>
    </row>
    <row r="30" spans="8:40" x14ac:dyDescent="0.25">
      <c r="H30" s="4"/>
      <c r="K30" s="12" t="s">
        <v>394</v>
      </c>
      <c r="L30" s="13" t="b">
        <v>0</v>
      </c>
      <c r="W30" s="68"/>
      <c r="AB30" s="37"/>
      <c r="AI30" s="157">
        <v>-2147483648</v>
      </c>
      <c r="AM30" t="s">
        <v>485</v>
      </c>
      <c r="AN30" s="199">
        <v>8324058</v>
      </c>
    </row>
    <row r="31" spans="8:40" x14ac:dyDescent="0.25">
      <c r="H31" s="4"/>
      <c r="K31" s="12" t="s">
        <v>394</v>
      </c>
      <c r="L31" s="153">
        <v>15</v>
      </c>
      <c r="W31" s="68"/>
      <c r="AB31" s="37"/>
      <c r="AI31" s="157">
        <v>0.75</v>
      </c>
      <c r="AM31"/>
      <c r="AN31"/>
    </row>
    <row r="32" spans="8:40" x14ac:dyDescent="0.25">
      <c r="H32" s="4"/>
      <c r="K32" s="12" t="s">
        <v>395</v>
      </c>
      <c r="L32" s="13" t="b">
        <v>0</v>
      </c>
      <c r="W32" s="68"/>
      <c r="AB32" s="37"/>
      <c r="AI32" s="157">
        <v>0</v>
      </c>
      <c r="AM32" t="s">
        <v>486</v>
      </c>
      <c r="AN32" s="200">
        <v>11911833</v>
      </c>
    </row>
    <row r="33" spans="8:40" x14ac:dyDescent="0.25">
      <c r="H33" s="4"/>
      <c r="K33" s="12" t="s">
        <v>431</v>
      </c>
      <c r="L33" s="13" t="b">
        <v>0</v>
      </c>
      <c r="W33" s="68"/>
      <c r="AB33" s="37"/>
      <c r="AI33" s="157">
        <v>0</v>
      </c>
      <c r="AM33" t="s">
        <v>487</v>
      </c>
      <c r="AN33" s="201">
        <v>6721383</v>
      </c>
    </row>
    <row r="34" spans="8:40" x14ac:dyDescent="0.25">
      <c r="H34" s="4"/>
      <c r="K34" s="12" t="s">
        <v>432</v>
      </c>
      <c r="L34" s="13" t="b">
        <v>0</v>
      </c>
      <c r="W34" s="68"/>
      <c r="AB34" s="37"/>
      <c r="AI34" s="157">
        <v>0.75</v>
      </c>
      <c r="AM34"/>
      <c r="AN34"/>
    </row>
    <row r="35" spans="8:40" x14ac:dyDescent="0.25">
      <c r="H35" s="4"/>
      <c r="K35" s="12" t="s">
        <v>433</v>
      </c>
      <c r="L35" s="13" t="b">
        <v>0</v>
      </c>
      <c r="W35" s="68"/>
      <c r="AB35" s="37"/>
      <c r="AI35" s="157">
        <v>4</v>
      </c>
      <c r="AM35" t="s">
        <v>488</v>
      </c>
      <c r="AN35" s="202">
        <v>15528702</v>
      </c>
    </row>
    <row r="36" spans="8:40" x14ac:dyDescent="0.25">
      <c r="H36" s="4"/>
      <c r="K36" s="12" t="s">
        <v>434</v>
      </c>
      <c r="L36" s="13" t="b">
        <v>0</v>
      </c>
      <c r="W36" s="68"/>
      <c r="AB36" s="37"/>
      <c r="AI36" s="157">
        <v>0</v>
      </c>
      <c r="AM36" t="s">
        <v>489</v>
      </c>
      <c r="AN36" s="203">
        <v>11465471</v>
      </c>
    </row>
    <row r="37" spans="8:40" x14ac:dyDescent="0.25">
      <c r="H37" s="4"/>
      <c r="K37" s="12" t="s">
        <v>441</v>
      </c>
      <c r="L37" s="13" t="b">
        <v>0</v>
      </c>
      <c r="W37" s="68"/>
      <c r="AB37" s="37"/>
      <c r="AI37" s="157">
        <v>0</v>
      </c>
      <c r="AM37" t="s">
        <v>490</v>
      </c>
      <c r="AN37" s="204">
        <v>10092543</v>
      </c>
    </row>
    <row r="38" spans="8:40" x14ac:dyDescent="0.25">
      <c r="H38" s="4"/>
      <c r="K38" s="12" t="s">
        <v>444</v>
      </c>
      <c r="L38" s="13" t="b">
        <v>0</v>
      </c>
      <c r="W38" s="68"/>
      <c r="AB38" s="37"/>
      <c r="AI38" s="157">
        <v>16777215</v>
      </c>
      <c r="AM38" t="s">
        <v>491</v>
      </c>
      <c r="AN38" s="205">
        <v>65535</v>
      </c>
    </row>
    <row r="39" spans="8:40" x14ac:dyDescent="0.25">
      <c r="H39" s="4"/>
      <c r="K39" s="12" t="s">
        <v>446</v>
      </c>
      <c r="L39" s="13" t="b">
        <v>1</v>
      </c>
      <c r="W39" s="68"/>
      <c r="AB39" s="37"/>
      <c r="AI39" s="157">
        <v>1</v>
      </c>
      <c r="AM39" t="s">
        <v>492</v>
      </c>
      <c r="AN39" s="206">
        <v>8044797</v>
      </c>
    </row>
    <row r="40" spans="8:40" x14ac:dyDescent="0.25">
      <c r="H40" s="4"/>
      <c r="K40" s="12" t="s">
        <v>448</v>
      </c>
      <c r="L40" s="13" t="b">
        <v>1</v>
      </c>
      <c r="W40" s="68"/>
      <c r="AB40" s="37"/>
      <c r="AI40" s="157">
        <v>16777215</v>
      </c>
      <c r="AM40" t="s">
        <v>493</v>
      </c>
      <c r="AN40" s="207">
        <v>7124221</v>
      </c>
    </row>
    <row r="41" spans="8:40" x14ac:dyDescent="0.25">
      <c r="H41" s="4"/>
      <c r="K41" s="12" t="s">
        <v>447</v>
      </c>
      <c r="L41" s="13" t="b">
        <v>0</v>
      </c>
      <c r="W41" s="68"/>
      <c r="AB41" s="37"/>
      <c r="AI41" s="157">
        <v>-2147483648</v>
      </c>
      <c r="AM41" t="s">
        <v>494</v>
      </c>
      <c r="AN41" s="208">
        <v>6268925</v>
      </c>
    </row>
    <row r="42" spans="8:40" x14ac:dyDescent="0.25">
      <c r="H42" s="4"/>
      <c r="K42" s="12" t="s">
        <v>451</v>
      </c>
      <c r="L42" s="13" t="b">
        <v>0</v>
      </c>
      <c r="W42" s="68"/>
      <c r="AB42" s="37"/>
      <c r="AI42" s="157">
        <v>-2147483648</v>
      </c>
      <c r="AM42" t="s">
        <v>495</v>
      </c>
      <c r="AN42" s="209">
        <v>4905126</v>
      </c>
    </row>
    <row r="43" spans="8:40" x14ac:dyDescent="0.25">
      <c r="H43" s="4"/>
      <c r="K43" s="12" t="s">
        <v>449</v>
      </c>
      <c r="L43" s="13" t="b">
        <v>0</v>
      </c>
      <c r="W43" s="68"/>
      <c r="AB43" s="37"/>
      <c r="AI43" s="157">
        <v>3684411</v>
      </c>
      <c r="AM43" t="s">
        <v>496</v>
      </c>
      <c r="AN43" s="210">
        <v>5754252</v>
      </c>
    </row>
    <row r="44" spans="8:40" x14ac:dyDescent="0.25">
      <c r="H44" s="4"/>
      <c r="K44" s="12" t="s">
        <v>450</v>
      </c>
      <c r="L44" s="13" t="b">
        <v>0</v>
      </c>
      <c r="W44" s="68"/>
      <c r="AB44" s="37"/>
      <c r="AI44" s="157">
        <v>0</v>
      </c>
      <c r="AM44" t="s">
        <v>497</v>
      </c>
      <c r="AN44" s="211">
        <v>15655859</v>
      </c>
    </row>
    <row r="45" spans="8:40" x14ac:dyDescent="0.25">
      <c r="H45" s="4"/>
      <c r="W45" s="68"/>
      <c r="AB45" s="37"/>
      <c r="AI45" s="157">
        <v>14277081</v>
      </c>
      <c r="AM45" t="s">
        <v>498</v>
      </c>
      <c r="AN45" s="212">
        <v>14208896</v>
      </c>
    </row>
    <row r="46" spans="8:40" x14ac:dyDescent="0.25">
      <c r="H46" s="4"/>
      <c r="W46" s="68"/>
      <c r="AB46" s="37"/>
      <c r="AI46" s="157">
        <v>-2147483648</v>
      </c>
      <c r="AM46" t="s">
        <v>499</v>
      </c>
      <c r="AN46" s="213">
        <v>13676098</v>
      </c>
    </row>
    <row r="47" spans="8:40" x14ac:dyDescent="0.25">
      <c r="H47" s="4"/>
      <c r="W47" s="68"/>
      <c r="AB47" s="37"/>
      <c r="AI47" s="157">
        <v>0.75</v>
      </c>
      <c r="AM47" t="s">
        <v>500</v>
      </c>
      <c r="AN47" s="214">
        <v>12815549</v>
      </c>
    </row>
    <row r="48" spans="8:40" x14ac:dyDescent="0.25">
      <c r="H48" s="4"/>
      <c r="W48" s="68"/>
      <c r="AB48" s="37"/>
      <c r="AI48" s="157">
        <v>0</v>
      </c>
      <c r="AM48" t="s">
        <v>501</v>
      </c>
      <c r="AN48" s="215">
        <v>11626673</v>
      </c>
    </row>
    <row r="49" spans="8:40" x14ac:dyDescent="0.25">
      <c r="H49" s="4"/>
      <c r="W49" s="68"/>
      <c r="AB49" s="37"/>
      <c r="AI49" s="157">
        <v>-4152</v>
      </c>
      <c r="AM49" t="s">
        <v>502</v>
      </c>
      <c r="AN49" s="216">
        <v>10041752</v>
      </c>
    </row>
    <row r="50" spans="8:40" x14ac:dyDescent="0.25">
      <c r="H50" s="4"/>
      <c r="W50" s="68"/>
      <c r="AB50" s="37"/>
      <c r="AM50" t="s">
        <v>503</v>
      </c>
      <c r="AN50" s="217">
        <v>9742331</v>
      </c>
    </row>
    <row r="51" spans="8:40" x14ac:dyDescent="0.25">
      <c r="W51" s="68"/>
      <c r="AB51" s="37"/>
      <c r="AM51" t="s">
        <v>504</v>
      </c>
      <c r="AN51" s="218">
        <v>6059259</v>
      </c>
    </row>
    <row r="52" spans="8:40" x14ac:dyDescent="0.25">
      <c r="W52" s="68"/>
      <c r="AB52" s="37"/>
      <c r="AM52" t="s">
        <v>505</v>
      </c>
      <c r="AN52" s="219">
        <v>4544751</v>
      </c>
    </row>
    <row r="53" spans="8:40" x14ac:dyDescent="0.25">
      <c r="W53" s="68"/>
      <c r="AB53" s="37"/>
      <c r="AM53" t="s">
        <v>506</v>
      </c>
      <c r="AN53" s="220">
        <v>12243135</v>
      </c>
    </row>
    <row r="54" spans="8:40" x14ac:dyDescent="0.25">
      <c r="W54" s="68"/>
      <c r="AB54" s="37"/>
      <c r="AM54" t="s">
        <v>507</v>
      </c>
      <c r="AN54" s="221">
        <v>12044198</v>
      </c>
    </row>
    <row r="55" spans="8:40" x14ac:dyDescent="0.25">
      <c r="W55" s="68"/>
      <c r="AB55" s="37"/>
      <c r="AM55" t="s">
        <v>508</v>
      </c>
      <c r="AN55" s="222">
        <v>11845260</v>
      </c>
    </row>
    <row r="56" spans="8:40" x14ac:dyDescent="0.25">
      <c r="W56" s="68"/>
      <c r="AB56" s="37"/>
      <c r="AM56" t="s">
        <v>509</v>
      </c>
      <c r="AN56" s="223">
        <v>7126707</v>
      </c>
    </row>
    <row r="57" spans="8:40" x14ac:dyDescent="0.25">
      <c r="W57" s="68"/>
      <c r="AB57" s="37"/>
      <c r="AM57" t="s">
        <v>510</v>
      </c>
      <c r="AN57" s="224">
        <v>7124121</v>
      </c>
    </row>
    <row r="58" spans="8:40" x14ac:dyDescent="0.25">
      <c r="W58" s="68"/>
      <c r="AB58" s="37"/>
      <c r="AM58" t="s">
        <v>511</v>
      </c>
      <c r="AN58" s="225">
        <v>7121792</v>
      </c>
    </row>
    <row r="59" spans="8:40" x14ac:dyDescent="0.25">
      <c r="W59" s="68"/>
      <c r="AB59" s="37"/>
      <c r="AM59" t="s">
        <v>512</v>
      </c>
      <c r="AN59" s="226">
        <v>10346993</v>
      </c>
    </row>
    <row r="60" spans="8:40" x14ac:dyDescent="0.25">
      <c r="W60" s="68"/>
      <c r="AB60" s="37"/>
      <c r="AM60" t="s">
        <v>513</v>
      </c>
      <c r="AN60" s="227">
        <v>6867185</v>
      </c>
    </row>
    <row r="61" spans="8:40" x14ac:dyDescent="0.25">
      <c r="W61" s="68"/>
      <c r="AB61" s="37"/>
      <c r="AM61" t="s">
        <v>514</v>
      </c>
      <c r="AN61" s="228">
        <v>5090533</v>
      </c>
    </row>
    <row r="62" spans="8:40" x14ac:dyDescent="0.25">
      <c r="W62" s="68"/>
      <c r="AB62" s="37"/>
      <c r="AM62" t="s">
        <v>515</v>
      </c>
      <c r="AN62" s="229">
        <v>14808550</v>
      </c>
    </row>
    <row r="63" spans="8:40" x14ac:dyDescent="0.25">
      <c r="W63" s="68"/>
      <c r="AB63" s="37"/>
      <c r="AM63" t="s">
        <v>516</v>
      </c>
      <c r="AN63" s="230">
        <v>13625023</v>
      </c>
    </row>
    <row r="64" spans="8:40" x14ac:dyDescent="0.25">
      <c r="W64" s="68"/>
      <c r="AB64" s="37"/>
      <c r="AM64" t="s">
        <v>517</v>
      </c>
      <c r="AN64" s="231">
        <v>12771763</v>
      </c>
    </row>
    <row r="65" spans="23:40" x14ac:dyDescent="0.25">
      <c r="W65" s="68"/>
      <c r="AB65" s="37"/>
      <c r="AM65" t="s">
        <v>518</v>
      </c>
      <c r="AN65" s="232">
        <v>11786137</v>
      </c>
    </row>
    <row r="66" spans="23:40" x14ac:dyDescent="0.25">
      <c r="W66" s="68"/>
      <c r="AB66" s="37"/>
      <c r="AM66" t="s">
        <v>519</v>
      </c>
      <c r="AN66" s="233">
        <v>9685631</v>
      </c>
    </row>
    <row r="67" spans="23:40" x14ac:dyDescent="0.25">
      <c r="W67" s="68"/>
      <c r="AB67" s="37"/>
      <c r="AM67" t="s">
        <v>520</v>
      </c>
      <c r="AN67" s="234">
        <v>8303693</v>
      </c>
    </row>
    <row r="68" spans="23:40" x14ac:dyDescent="0.25">
      <c r="W68" s="68"/>
      <c r="AB68" s="37"/>
      <c r="AM68" t="s">
        <v>521</v>
      </c>
      <c r="AN68" s="235">
        <v>7314714</v>
      </c>
    </row>
    <row r="69" spans="23:40" x14ac:dyDescent="0.25">
      <c r="W69" s="68"/>
      <c r="AB69" s="37"/>
      <c r="AM69" t="s">
        <v>522</v>
      </c>
      <c r="AN69" s="236">
        <v>9822387</v>
      </c>
    </row>
    <row r="70" spans="23:40" x14ac:dyDescent="0.25">
      <c r="W70" s="68"/>
      <c r="AB70" s="37"/>
      <c r="AM70" t="s">
        <v>523</v>
      </c>
      <c r="AN70" s="237">
        <v>8834982</v>
      </c>
    </row>
    <row r="71" spans="23:40" x14ac:dyDescent="0.25">
      <c r="W71" s="68"/>
      <c r="AB71" s="37"/>
      <c r="AM71" t="s">
        <v>524</v>
      </c>
      <c r="AN71" s="238">
        <v>7913625</v>
      </c>
    </row>
    <row r="72" spans="23:40" x14ac:dyDescent="0.25">
      <c r="W72" s="68"/>
      <c r="AB72" s="37"/>
      <c r="AM72" t="s">
        <v>525</v>
      </c>
      <c r="AN72" s="239">
        <v>7123084</v>
      </c>
    </row>
    <row r="73" spans="23:40" x14ac:dyDescent="0.25">
      <c r="W73" s="68"/>
      <c r="AB73" s="37"/>
      <c r="AM73"/>
      <c r="AN73"/>
    </row>
    <row r="74" spans="23:40" x14ac:dyDescent="0.25">
      <c r="W74" s="68"/>
      <c r="AB74" s="37"/>
      <c r="AM74" t="s">
        <v>526</v>
      </c>
      <c r="AN74" s="240">
        <v>7002622</v>
      </c>
    </row>
    <row r="75" spans="23:40" x14ac:dyDescent="0.25">
      <c r="W75" s="68"/>
      <c r="AB75" s="37"/>
      <c r="AM75" t="s">
        <v>527</v>
      </c>
      <c r="AN75" s="241">
        <v>6081790</v>
      </c>
    </row>
    <row r="76" spans="23:40" x14ac:dyDescent="0.25">
      <c r="W76" s="68"/>
      <c r="AB76" s="37"/>
      <c r="AM76" t="s">
        <v>528</v>
      </c>
      <c r="AN76" s="242">
        <v>5160958</v>
      </c>
    </row>
    <row r="77" spans="23:40" x14ac:dyDescent="0.25">
      <c r="W77" s="68"/>
      <c r="AB77" s="37"/>
      <c r="AM77" t="s">
        <v>529</v>
      </c>
      <c r="AN77" s="243">
        <v>10148350</v>
      </c>
    </row>
    <row r="78" spans="23:40" x14ac:dyDescent="0.25">
      <c r="W78" s="68"/>
      <c r="AB78" s="37"/>
      <c r="AM78" t="s">
        <v>530</v>
      </c>
      <c r="AN78" s="244">
        <v>9096445</v>
      </c>
    </row>
    <row r="79" spans="23:40" x14ac:dyDescent="0.25">
      <c r="W79" s="68"/>
      <c r="AB79" s="37"/>
      <c r="AM79" t="s">
        <v>531</v>
      </c>
      <c r="AN79" s="206">
        <v>8044797</v>
      </c>
    </row>
    <row r="80" spans="23:40" x14ac:dyDescent="0.25">
      <c r="W80" s="68"/>
      <c r="AB80" s="37"/>
      <c r="AM80" t="s">
        <v>532</v>
      </c>
      <c r="AN80" s="245">
        <v>10974712</v>
      </c>
    </row>
    <row r="81" spans="23:40" x14ac:dyDescent="0.25">
      <c r="W81" s="68"/>
      <c r="AB81" s="37"/>
      <c r="AM81" t="s">
        <v>533</v>
      </c>
      <c r="AN81" s="246">
        <v>9988343</v>
      </c>
    </row>
    <row r="82" spans="23:40" x14ac:dyDescent="0.25">
      <c r="W82" s="68"/>
      <c r="AB82" s="37"/>
      <c r="AM82" t="s">
        <v>534</v>
      </c>
      <c r="AN82" s="247">
        <v>9001975</v>
      </c>
    </row>
    <row r="83" spans="23:40" x14ac:dyDescent="0.25">
      <c r="W83" s="68"/>
      <c r="AB83" s="37"/>
      <c r="AM83" t="s">
        <v>535</v>
      </c>
      <c r="AN83" s="248">
        <v>8146935</v>
      </c>
    </row>
    <row r="84" spans="23:40" x14ac:dyDescent="0.25">
      <c r="W84" s="68"/>
      <c r="AB84" s="37"/>
      <c r="AM84"/>
      <c r="AN84"/>
    </row>
    <row r="85" spans="23:40" x14ac:dyDescent="0.25">
      <c r="W85" s="68"/>
      <c r="AB85" s="37"/>
      <c r="AM85" t="s">
        <v>536</v>
      </c>
      <c r="AN85" s="249">
        <v>13890303</v>
      </c>
    </row>
    <row r="86" spans="23:40" x14ac:dyDescent="0.25">
      <c r="W86" s="68"/>
      <c r="AB86" s="37"/>
      <c r="AM86" t="s">
        <v>537</v>
      </c>
      <c r="AN86" s="250">
        <v>13103871</v>
      </c>
    </row>
    <row r="87" spans="23:40" x14ac:dyDescent="0.25">
      <c r="W87" s="68"/>
      <c r="AB87" s="37"/>
      <c r="AM87" t="s">
        <v>538</v>
      </c>
      <c r="AN87" s="251">
        <v>12251903</v>
      </c>
    </row>
    <row r="88" spans="23:40" x14ac:dyDescent="0.25">
      <c r="W88" s="68"/>
      <c r="AB88" s="37"/>
      <c r="AM88" t="s">
        <v>539</v>
      </c>
      <c r="AN88" s="252">
        <v>11791871</v>
      </c>
    </row>
    <row r="89" spans="23:40" x14ac:dyDescent="0.25">
      <c r="W89" s="68"/>
      <c r="AB89" s="37"/>
      <c r="AM89" t="s">
        <v>540</v>
      </c>
      <c r="AN89" s="253">
        <v>12582911</v>
      </c>
    </row>
    <row r="90" spans="23:40" x14ac:dyDescent="0.25">
      <c r="W90" s="68"/>
      <c r="AB90" s="37"/>
      <c r="AM90" t="s">
        <v>541</v>
      </c>
      <c r="AN90" s="254">
        <v>11796479</v>
      </c>
    </row>
    <row r="91" spans="23:40" x14ac:dyDescent="0.25">
      <c r="W91" s="68"/>
      <c r="AB91" s="37"/>
      <c r="AM91" t="s">
        <v>542</v>
      </c>
      <c r="AN91" s="255">
        <v>7602175</v>
      </c>
    </row>
    <row r="92" spans="23:40" x14ac:dyDescent="0.25">
      <c r="W92" s="68"/>
      <c r="AB92" s="37"/>
      <c r="AM92" t="s">
        <v>543</v>
      </c>
      <c r="AN92" s="256">
        <v>6750207</v>
      </c>
    </row>
    <row r="93" spans="23:40" x14ac:dyDescent="0.25">
      <c r="W93" s="68"/>
      <c r="AB93" s="37"/>
      <c r="AM93" t="s">
        <v>544</v>
      </c>
      <c r="AN93" s="257">
        <v>5898239</v>
      </c>
    </row>
    <row r="94" spans="23:40" x14ac:dyDescent="0.25">
      <c r="W94" s="68"/>
      <c r="AB94" s="37"/>
      <c r="AM94" t="s">
        <v>545</v>
      </c>
      <c r="AN94" s="258">
        <v>5111807</v>
      </c>
    </row>
    <row r="95" spans="23:40" x14ac:dyDescent="0.25">
      <c r="W95" s="68"/>
      <c r="AB95" s="37"/>
      <c r="AM95" t="s">
        <v>546</v>
      </c>
      <c r="AN95" s="259">
        <v>4325375</v>
      </c>
    </row>
    <row r="96" spans="23:40" x14ac:dyDescent="0.25">
      <c r="W96" s="68"/>
      <c r="AB96" s="37"/>
      <c r="AM96" t="s">
        <v>547</v>
      </c>
      <c r="AN96" s="260">
        <v>3407871</v>
      </c>
    </row>
    <row r="97" spans="23:40" x14ac:dyDescent="0.25">
      <c r="W97" s="68"/>
      <c r="AB97" s="37"/>
      <c r="AM97" t="s">
        <v>548</v>
      </c>
      <c r="AN97" s="261">
        <v>11200254</v>
      </c>
    </row>
    <row r="98" spans="23:40" x14ac:dyDescent="0.25">
      <c r="W98" s="68"/>
      <c r="AB98" s="37"/>
      <c r="AM98" t="s">
        <v>549</v>
      </c>
      <c r="AN98" s="243">
        <v>10148350</v>
      </c>
    </row>
    <row r="99" spans="23:40" x14ac:dyDescent="0.25">
      <c r="W99" s="68"/>
      <c r="AB99" s="37"/>
      <c r="AM99" t="s">
        <v>550</v>
      </c>
      <c r="AN99" s="262">
        <v>10604029</v>
      </c>
    </row>
    <row r="100" spans="23:40" x14ac:dyDescent="0.25">
      <c r="W100" s="68"/>
      <c r="AM100" t="s">
        <v>551</v>
      </c>
      <c r="AN100" s="263">
        <v>9552125</v>
      </c>
    </row>
    <row r="101" spans="23:40" x14ac:dyDescent="0.25">
      <c r="AM101" t="s">
        <v>552</v>
      </c>
      <c r="AN101" s="264">
        <v>8566012</v>
      </c>
    </row>
    <row r="102" spans="23:40" x14ac:dyDescent="0.25">
      <c r="AM102" t="s">
        <v>553</v>
      </c>
      <c r="AN102" s="265">
        <v>7579644</v>
      </c>
    </row>
    <row r="103" spans="23:40" x14ac:dyDescent="0.25">
      <c r="AM103" t="s">
        <v>554</v>
      </c>
      <c r="AN103" s="266">
        <v>7323645</v>
      </c>
    </row>
    <row r="104" spans="23:40" x14ac:dyDescent="0.25">
      <c r="AM104" t="s">
        <v>555</v>
      </c>
      <c r="AN104" s="267">
        <v>6668286</v>
      </c>
    </row>
    <row r="105" spans="23:40" x14ac:dyDescent="0.25">
      <c r="AM105" t="s">
        <v>556</v>
      </c>
      <c r="AN105" s="195">
        <v>6468861</v>
      </c>
    </row>
    <row r="106" spans="23:40" x14ac:dyDescent="0.25">
      <c r="AM106" t="s">
        <v>557</v>
      </c>
      <c r="AN106" s="268">
        <v>9239282</v>
      </c>
    </row>
    <row r="107" spans="23:40" x14ac:dyDescent="0.25">
      <c r="AM107" t="s">
        <v>558</v>
      </c>
      <c r="AN107" s="269">
        <v>8385766</v>
      </c>
    </row>
    <row r="108" spans="23:40" x14ac:dyDescent="0.25">
      <c r="AM108" t="s">
        <v>559</v>
      </c>
      <c r="AN108" s="270">
        <v>7663577</v>
      </c>
    </row>
    <row r="109" spans="23:40" x14ac:dyDescent="0.25">
      <c r="AM109" t="s">
        <v>560</v>
      </c>
      <c r="AN109" s="271">
        <v>6875596</v>
      </c>
    </row>
    <row r="110" spans="23:40" x14ac:dyDescent="0.25">
      <c r="AM110" t="s">
        <v>561</v>
      </c>
      <c r="AN110" s="272">
        <v>6153151</v>
      </c>
    </row>
    <row r="111" spans="23:40" x14ac:dyDescent="0.25">
      <c r="AM111" t="s">
        <v>562</v>
      </c>
      <c r="AN111" s="273">
        <v>5496499</v>
      </c>
    </row>
    <row r="112" spans="23:40" x14ac:dyDescent="0.25">
      <c r="AM112" t="s">
        <v>563</v>
      </c>
      <c r="AN112" s="274">
        <v>9956044</v>
      </c>
    </row>
    <row r="113" spans="39:40" x14ac:dyDescent="0.25">
      <c r="AM113" t="s">
        <v>564</v>
      </c>
      <c r="AN113" s="275">
        <v>9102527</v>
      </c>
    </row>
    <row r="114" spans="39:40" x14ac:dyDescent="0.25">
      <c r="AM114" t="s">
        <v>565</v>
      </c>
      <c r="AN114" s="276">
        <v>8380339</v>
      </c>
    </row>
    <row r="115" spans="39:40" x14ac:dyDescent="0.25">
      <c r="AM115" t="s">
        <v>566</v>
      </c>
      <c r="AN115" s="277">
        <v>7723430</v>
      </c>
    </row>
    <row r="116" spans="39:40" x14ac:dyDescent="0.25">
      <c r="AM116" t="s">
        <v>567</v>
      </c>
      <c r="AN116" s="278">
        <v>7000985</v>
      </c>
    </row>
    <row r="117" spans="39:40" x14ac:dyDescent="0.25">
      <c r="AM117" t="s">
        <v>568</v>
      </c>
      <c r="AN117" s="279">
        <v>6344076</v>
      </c>
    </row>
    <row r="118" spans="39:40" x14ac:dyDescent="0.25">
      <c r="AM118" t="s">
        <v>569</v>
      </c>
      <c r="AN118" s="280">
        <v>16249305</v>
      </c>
    </row>
    <row r="119" spans="39:40" x14ac:dyDescent="0.25">
      <c r="AM119" t="s">
        <v>570</v>
      </c>
      <c r="AN119" s="281">
        <v>16051404</v>
      </c>
    </row>
    <row r="120" spans="39:40" x14ac:dyDescent="0.25">
      <c r="AM120" t="s">
        <v>571</v>
      </c>
      <c r="AN120" s="282">
        <v>15853503</v>
      </c>
    </row>
    <row r="121" spans="39:40" x14ac:dyDescent="0.25">
      <c r="AM121" t="s">
        <v>572</v>
      </c>
      <c r="AN121" s="283">
        <v>15067071</v>
      </c>
    </row>
    <row r="122" spans="39:40" x14ac:dyDescent="0.25">
      <c r="AM122" t="s">
        <v>573</v>
      </c>
      <c r="AN122" s="284">
        <v>14934707</v>
      </c>
    </row>
    <row r="123" spans="39:40" x14ac:dyDescent="0.25">
      <c r="AM123" t="s">
        <v>574</v>
      </c>
      <c r="AN123" s="285">
        <v>14736806</v>
      </c>
    </row>
    <row r="124" spans="39:40" x14ac:dyDescent="0.25">
      <c r="AM124" t="s">
        <v>575</v>
      </c>
      <c r="AN124" s="174">
        <v>14539162</v>
      </c>
    </row>
    <row r="125" spans="39:40" x14ac:dyDescent="0.25">
      <c r="AM125" t="s">
        <v>576</v>
      </c>
      <c r="AN125" s="286">
        <v>14929561</v>
      </c>
    </row>
    <row r="126" spans="39:40" x14ac:dyDescent="0.25">
      <c r="AM126" t="s">
        <v>577</v>
      </c>
      <c r="AN126" s="287">
        <v>14534016</v>
      </c>
    </row>
    <row r="127" spans="39:40" x14ac:dyDescent="0.25">
      <c r="AM127" t="s">
        <v>578</v>
      </c>
      <c r="AN127" s="288">
        <v>14204007</v>
      </c>
    </row>
    <row r="128" spans="39:40" x14ac:dyDescent="0.25">
      <c r="AM128" t="s">
        <v>579</v>
      </c>
      <c r="AN128" s="289">
        <v>13873998</v>
      </c>
    </row>
    <row r="129" spans="39:40" x14ac:dyDescent="0.25">
      <c r="AM129" t="s">
        <v>580</v>
      </c>
      <c r="AN129" s="290">
        <v>14399971</v>
      </c>
    </row>
    <row r="130" spans="39:40" x14ac:dyDescent="0.25">
      <c r="AM130" t="s">
        <v>581</v>
      </c>
      <c r="AN130" s="291">
        <v>13871830</v>
      </c>
    </row>
    <row r="131" spans="39:40" x14ac:dyDescent="0.25">
      <c r="AM131" t="s">
        <v>582</v>
      </c>
      <c r="AN131" s="292">
        <v>13343689</v>
      </c>
    </row>
    <row r="132" spans="39:40" x14ac:dyDescent="0.25">
      <c r="AM132" t="s">
        <v>583</v>
      </c>
      <c r="AN132" s="293">
        <v>12551113</v>
      </c>
    </row>
    <row r="133" spans="39:40" x14ac:dyDescent="0.25">
      <c r="AM133" t="s">
        <v>584</v>
      </c>
      <c r="AN133" s="294">
        <v>12023228</v>
      </c>
    </row>
    <row r="134" spans="39:40" x14ac:dyDescent="0.25">
      <c r="AM134" t="s">
        <v>585</v>
      </c>
      <c r="AN134" s="295">
        <v>10834352</v>
      </c>
    </row>
    <row r="135" spans="39:40" x14ac:dyDescent="0.25">
      <c r="AM135" t="s">
        <v>586</v>
      </c>
      <c r="AN135" s="296">
        <v>10438308</v>
      </c>
    </row>
    <row r="136" spans="39:40" x14ac:dyDescent="0.25">
      <c r="AM136" t="s">
        <v>587</v>
      </c>
      <c r="AN136" s="297">
        <v>11714812</v>
      </c>
    </row>
    <row r="137" spans="39:40" x14ac:dyDescent="0.25">
      <c r="AM137" t="s">
        <v>588</v>
      </c>
      <c r="AN137" s="298">
        <v>10663164</v>
      </c>
    </row>
    <row r="138" spans="39:40" x14ac:dyDescent="0.25">
      <c r="AM138" t="s">
        <v>589</v>
      </c>
      <c r="AN138" s="299">
        <v>8755963</v>
      </c>
    </row>
    <row r="139" spans="39:40" x14ac:dyDescent="0.25">
      <c r="AM139" t="s">
        <v>590</v>
      </c>
      <c r="AN139" s="300">
        <v>7769595</v>
      </c>
    </row>
    <row r="140" spans="39:40" x14ac:dyDescent="0.25">
      <c r="AM140" t="s">
        <v>591</v>
      </c>
      <c r="AN140" s="301">
        <v>6914299</v>
      </c>
    </row>
    <row r="141" spans="39:40" x14ac:dyDescent="0.25">
      <c r="AM141" t="s">
        <v>592</v>
      </c>
      <c r="AN141" s="302">
        <v>7768035</v>
      </c>
    </row>
    <row r="142" spans="39:40" x14ac:dyDescent="0.25">
      <c r="AM142" t="s">
        <v>593</v>
      </c>
      <c r="AN142" s="303">
        <v>6847459</v>
      </c>
    </row>
    <row r="143" spans="39:40" x14ac:dyDescent="0.25">
      <c r="AM143" t="s">
        <v>594</v>
      </c>
      <c r="AN143" s="304">
        <v>6057955</v>
      </c>
    </row>
    <row r="144" spans="39:40" x14ac:dyDescent="0.25">
      <c r="AM144" t="s">
        <v>595</v>
      </c>
      <c r="AN144" s="305">
        <v>5268451</v>
      </c>
    </row>
    <row r="145" spans="39:40" x14ac:dyDescent="0.25">
      <c r="AM145" t="s">
        <v>596</v>
      </c>
      <c r="AN145" s="306">
        <v>13096140</v>
      </c>
    </row>
    <row r="146" spans="39:40" x14ac:dyDescent="0.25">
      <c r="AM146" t="s">
        <v>597</v>
      </c>
      <c r="AN146" s="307">
        <v>12964031</v>
      </c>
    </row>
    <row r="147" spans="39:40" x14ac:dyDescent="0.25">
      <c r="AM147" t="s">
        <v>598</v>
      </c>
      <c r="AN147" s="308">
        <v>12176307</v>
      </c>
    </row>
    <row r="148" spans="39:40" x14ac:dyDescent="0.25">
      <c r="AM148" t="s">
        <v>599</v>
      </c>
      <c r="AN148" s="200">
        <v>11911833</v>
      </c>
    </row>
    <row r="149" spans="39:40" x14ac:dyDescent="0.25">
      <c r="AM149" t="s">
        <v>600</v>
      </c>
      <c r="AN149" s="309">
        <v>7062207</v>
      </c>
    </row>
    <row r="150" spans="39:40" x14ac:dyDescent="0.25">
      <c r="AM150" t="s">
        <v>601</v>
      </c>
      <c r="AN150" s="310">
        <v>7125414</v>
      </c>
    </row>
    <row r="151" spans="39:40" x14ac:dyDescent="0.25">
      <c r="AM151" t="s">
        <v>602</v>
      </c>
      <c r="AN151" s="239">
        <v>7123084</v>
      </c>
    </row>
    <row r="152" spans="39:40" x14ac:dyDescent="0.25">
      <c r="AM152" t="s">
        <v>603</v>
      </c>
      <c r="AN152" s="311">
        <v>12971506</v>
      </c>
    </row>
    <row r="153" spans="39:40" x14ac:dyDescent="0.25">
      <c r="AM153" t="s">
        <v>604</v>
      </c>
      <c r="AN153" s="312">
        <v>11398642</v>
      </c>
    </row>
    <row r="154" spans="39:40" x14ac:dyDescent="0.25">
      <c r="AM154" t="s">
        <v>605</v>
      </c>
      <c r="AN154" s="313">
        <v>8774129</v>
      </c>
    </row>
    <row r="155" spans="39:40" x14ac:dyDescent="0.25">
      <c r="AM155" t="s">
        <v>606</v>
      </c>
      <c r="AN155" s="314">
        <v>7788017</v>
      </c>
    </row>
    <row r="156" spans="39:40" x14ac:dyDescent="0.25">
      <c r="AM156" t="s">
        <v>607</v>
      </c>
      <c r="AN156" s="315">
        <v>7721189</v>
      </c>
    </row>
    <row r="157" spans="39:40" x14ac:dyDescent="0.25">
      <c r="AM157" t="s">
        <v>608</v>
      </c>
      <c r="AN157" s="316">
        <v>6866149</v>
      </c>
    </row>
    <row r="158" spans="39:40" x14ac:dyDescent="0.25">
      <c r="AM158" t="s">
        <v>609</v>
      </c>
      <c r="AN158" s="317">
        <v>5945317</v>
      </c>
    </row>
    <row r="159" spans="39:40" x14ac:dyDescent="0.25">
      <c r="AM159" t="s">
        <v>610</v>
      </c>
      <c r="AN159" s="318">
        <v>14676185</v>
      </c>
    </row>
    <row r="160" spans="39:40" x14ac:dyDescent="0.25">
      <c r="AM160" t="s">
        <v>611</v>
      </c>
      <c r="AN160" s="319">
        <v>14544076</v>
      </c>
    </row>
    <row r="161" spans="39:40" x14ac:dyDescent="0.25">
      <c r="AM161" t="s">
        <v>612</v>
      </c>
      <c r="AN161" s="320">
        <v>13757388</v>
      </c>
    </row>
    <row r="162" spans="39:40" x14ac:dyDescent="0.25">
      <c r="AM162" t="s">
        <v>613</v>
      </c>
      <c r="AN162" s="321">
        <v>12838591</v>
      </c>
    </row>
    <row r="163" spans="39:40" x14ac:dyDescent="0.25">
      <c r="AM163" t="s">
        <v>614</v>
      </c>
      <c r="AN163" s="230">
        <v>13625023</v>
      </c>
    </row>
    <row r="164" spans="39:40" x14ac:dyDescent="0.25">
      <c r="AM164" t="s">
        <v>615</v>
      </c>
      <c r="AN164" s="231">
        <v>12771763</v>
      </c>
    </row>
    <row r="165" spans="39:40" x14ac:dyDescent="0.25">
      <c r="AM165" t="s">
        <v>616</v>
      </c>
      <c r="AN165" s="322">
        <v>11918502</v>
      </c>
    </row>
    <row r="166" spans="39:40" x14ac:dyDescent="0.25">
      <c r="AM166" t="s">
        <v>617</v>
      </c>
      <c r="AN166" s="323">
        <v>11262886</v>
      </c>
    </row>
    <row r="167" spans="39:40" x14ac:dyDescent="0.25">
      <c r="AM167" t="s">
        <v>618</v>
      </c>
      <c r="AN167" s="324">
        <v>10475161</v>
      </c>
    </row>
    <row r="168" spans="39:40" x14ac:dyDescent="0.25">
      <c r="AM168" t="s">
        <v>619</v>
      </c>
      <c r="AN168" s="325">
        <v>9752716</v>
      </c>
    </row>
    <row r="169" spans="39:40" x14ac:dyDescent="0.25">
      <c r="AM169" t="s">
        <v>620</v>
      </c>
      <c r="AN169" s="326">
        <v>10274420</v>
      </c>
    </row>
    <row r="170" spans="39:40" x14ac:dyDescent="0.25">
      <c r="AM170" t="s">
        <v>621</v>
      </c>
      <c r="AN170" s="327">
        <v>9617510</v>
      </c>
    </row>
    <row r="171" spans="39:40" x14ac:dyDescent="0.25">
      <c r="AM171" t="s">
        <v>622</v>
      </c>
      <c r="AN171" s="328">
        <v>8892481</v>
      </c>
    </row>
    <row r="172" spans="39:40" x14ac:dyDescent="0.25">
      <c r="AM172" t="s">
        <v>623</v>
      </c>
      <c r="AN172" s="329">
        <v>8300851</v>
      </c>
    </row>
    <row r="173" spans="39:40" x14ac:dyDescent="0.25">
      <c r="AM173" t="s">
        <v>624</v>
      </c>
      <c r="AN173" s="330">
        <v>13235686</v>
      </c>
    </row>
    <row r="174" spans="39:40" x14ac:dyDescent="0.25">
      <c r="AM174" t="s">
        <v>625</v>
      </c>
      <c r="AN174" s="331">
        <v>12316889</v>
      </c>
    </row>
    <row r="175" spans="39:40" x14ac:dyDescent="0.25">
      <c r="AM175" t="s">
        <v>626</v>
      </c>
      <c r="AN175" s="332">
        <v>11463628</v>
      </c>
    </row>
    <row r="176" spans="39:40" x14ac:dyDescent="0.25">
      <c r="AM176" t="s">
        <v>627</v>
      </c>
      <c r="AN176" s="333">
        <v>11198412</v>
      </c>
    </row>
    <row r="177" spans="39:40" x14ac:dyDescent="0.25">
      <c r="AM177" t="s">
        <v>628</v>
      </c>
      <c r="AN177" s="334">
        <v>10344895</v>
      </c>
    </row>
    <row r="178" spans="39:40" x14ac:dyDescent="0.25">
      <c r="AM178" t="s">
        <v>629</v>
      </c>
      <c r="AN178" s="335">
        <v>9622707</v>
      </c>
    </row>
    <row r="179" spans="39:40" x14ac:dyDescent="0.25">
      <c r="AM179" t="s">
        <v>630</v>
      </c>
      <c r="AN179" s="336">
        <v>9358003</v>
      </c>
    </row>
    <row r="180" spans="39:40" x14ac:dyDescent="0.25">
      <c r="AM180" t="s">
        <v>631</v>
      </c>
      <c r="AN180" s="337">
        <v>8635814</v>
      </c>
    </row>
    <row r="181" spans="39:40" x14ac:dyDescent="0.25">
      <c r="AM181" t="s">
        <v>632</v>
      </c>
      <c r="AN181" s="338">
        <v>8436390</v>
      </c>
    </row>
    <row r="182" spans="39:40" x14ac:dyDescent="0.25">
      <c r="AM182" t="s">
        <v>633</v>
      </c>
      <c r="AN182" s="339">
        <v>7714201</v>
      </c>
    </row>
    <row r="183" spans="39:40" x14ac:dyDescent="0.25">
      <c r="AM183"/>
      <c r="AN183"/>
    </row>
    <row r="184" spans="39:40" x14ac:dyDescent="0.25">
      <c r="AM184" t="s">
        <v>634</v>
      </c>
      <c r="AN184" s="202">
        <v>15528702</v>
      </c>
    </row>
    <row r="185" spans="39:40" x14ac:dyDescent="0.25">
      <c r="AM185" t="s">
        <v>635</v>
      </c>
      <c r="AN185" s="202">
        <v>15528702</v>
      </c>
    </row>
    <row r="186" spans="39:40" x14ac:dyDescent="0.25">
      <c r="AM186" t="s">
        <v>636</v>
      </c>
      <c r="AN186" s="202">
        <v>15528702</v>
      </c>
    </row>
  </sheetData>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7"/>
      <c r="E1" s="39" t="s">
        <v>58</v>
      </c>
      <c r="F1" s="40" t="s">
        <v>61</v>
      </c>
      <c r="G1" s="127"/>
      <c r="H1" s="39" t="s">
        <v>59</v>
      </c>
      <c r="I1" s="39" t="s">
        <v>60</v>
      </c>
      <c r="J1" s="130" t="s">
        <v>400</v>
      </c>
      <c r="K1" s="127"/>
      <c r="L1" s="39" t="s">
        <v>401</v>
      </c>
      <c r="M1" s="40" t="s">
        <v>61</v>
      </c>
      <c r="N1" s="127"/>
      <c r="O1" s="39" t="s">
        <v>402</v>
      </c>
      <c r="P1" s="40" t="s">
        <v>61</v>
      </c>
      <c r="Q1" s="39" t="s">
        <v>403</v>
      </c>
      <c r="R1" s="40" t="s">
        <v>61</v>
      </c>
      <c r="S1" s="127"/>
      <c r="T1" s="130" t="s">
        <v>404</v>
      </c>
      <c r="U1" s="132"/>
    </row>
    <row r="2" spans="1:21" s="1" customFormat="1" ht="15.75" thickBot="1" x14ac:dyDescent="0.3">
      <c r="A2" s="43"/>
      <c r="B2" s="41" t="s">
        <v>62</v>
      </c>
      <c r="C2" s="42" t="s">
        <v>372</v>
      </c>
      <c r="D2" s="128"/>
      <c r="E2" s="41" t="s">
        <v>62</v>
      </c>
      <c r="F2" s="42" t="s">
        <v>62</v>
      </c>
      <c r="G2" s="128"/>
      <c r="H2" s="41" t="s">
        <v>62</v>
      </c>
      <c r="I2" s="41" t="s">
        <v>62</v>
      </c>
      <c r="J2" s="131" t="s">
        <v>62</v>
      </c>
      <c r="K2" s="128"/>
      <c r="L2" s="41" t="s">
        <v>62</v>
      </c>
      <c r="M2" s="42" t="s">
        <v>62</v>
      </c>
      <c r="N2" s="128"/>
      <c r="O2" s="41" t="s">
        <v>62</v>
      </c>
      <c r="P2" s="42" t="s">
        <v>62</v>
      </c>
      <c r="Q2" s="41" t="s">
        <v>62</v>
      </c>
      <c r="R2" s="42" t="s">
        <v>62</v>
      </c>
      <c r="S2" s="128"/>
      <c r="T2" s="131"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6">
        <v>13.7608230128917</v>
      </c>
      <c r="C4" s="126">
        <v>2.0297334930749766</v>
      </c>
      <c r="D4" s="126"/>
      <c r="E4" s="129">
        <v>215476.62089286899</v>
      </c>
      <c r="F4" s="129">
        <v>15179.628081633611</v>
      </c>
      <c r="H4" s="126">
        <v>11.01650517697548</v>
      </c>
      <c r="I4" s="126">
        <v>215.37285076424095</v>
      </c>
      <c r="J4" s="126">
        <v>189.09266964376576</v>
      </c>
      <c r="L4" s="126">
        <v>62.260102536525224</v>
      </c>
      <c r="M4" s="126">
        <v>2.5274283080133513</v>
      </c>
      <c r="O4" s="126">
        <v>19.550015844804456</v>
      </c>
      <c r="P4" s="126">
        <v>0.79362643900692176</v>
      </c>
      <c r="Q4" s="126">
        <v>0.87797820836181917</v>
      </c>
      <c r="R4" s="126">
        <v>3.5641235514038895E-2</v>
      </c>
      <c r="T4" s="126">
        <v>28.669873349404483</v>
      </c>
    </row>
    <row r="5" spans="1:21" x14ac:dyDescent="0.25">
      <c r="A5" t="s">
        <v>21</v>
      </c>
      <c r="B5" s="126">
        <v>15.985269162636991</v>
      </c>
      <c r="C5" s="126">
        <v>2.0297534003956152</v>
      </c>
      <c r="D5" s="126"/>
      <c r="E5" s="129">
        <v>225868.54523735572</v>
      </c>
      <c r="F5" s="129">
        <v>13924.526523816456</v>
      </c>
      <c r="H5" s="126">
        <v>11.606086064568439</v>
      </c>
      <c r="I5" s="126">
        <v>222.34650223684724</v>
      </c>
      <c r="J5" s="126">
        <v>195.82743556969584</v>
      </c>
      <c r="L5" s="126">
        <v>64.509680374571744</v>
      </c>
      <c r="M5" s="126">
        <v>2.6187748619744258</v>
      </c>
      <c r="O5" s="126">
        <v>19.157750597390127</v>
      </c>
      <c r="P5" s="126">
        <v>0.77771018837967476</v>
      </c>
      <c r="Q5" s="126">
        <v>0.88073090244116881</v>
      </c>
      <c r="R5" s="126">
        <v>3.5753330881269224E-2</v>
      </c>
      <c r="T5" s="126">
        <v>29.004603684365676</v>
      </c>
    </row>
    <row r="6" spans="1:21" x14ac:dyDescent="0.25">
      <c r="A6" t="s">
        <v>22</v>
      </c>
      <c r="B6" s="126">
        <v>5.6333813339514434</v>
      </c>
      <c r="C6" s="126">
        <v>2.0296835779285889</v>
      </c>
      <c r="D6" s="126"/>
      <c r="E6" s="129">
        <v>299709.13015404076</v>
      </c>
      <c r="F6" s="129">
        <v>152944.39530260599</v>
      </c>
      <c r="H6" s="126">
        <v>10.262214923512031</v>
      </c>
      <c r="I6" s="126">
        <v>210.04397375641574</v>
      </c>
      <c r="J6" s="126">
        <v>185.39242365189688</v>
      </c>
      <c r="L6" s="126">
        <v>60.239126139106048</v>
      </c>
      <c r="M6" s="126">
        <v>2.4453273014662464</v>
      </c>
      <c r="O6" s="126">
        <v>20.467703641167994</v>
      </c>
      <c r="P6" s="126">
        <v>0.83085923916775728</v>
      </c>
      <c r="Q6" s="126">
        <v>0.88263624200374913</v>
      </c>
      <c r="R6" s="126">
        <v>3.582944571359227E-2</v>
      </c>
      <c r="T6" s="126">
        <v>41.21500734247924</v>
      </c>
    </row>
    <row r="7" spans="1:21" x14ac:dyDescent="0.25">
      <c r="A7" t="s">
        <v>23</v>
      </c>
      <c r="B7" s="126">
        <v>8.6669787640586797</v>
      </c>
      <c r="C7" s="126">
        <v>2.0296984411926249</v>
      </c>
      <c r="D7" s="126"/>
      <c r="E7" s="129">
        <v>258246.80968272348</v>
      </c>
      <c r="F7" s="129">
        <v>23232.574361835341</v>
      </c>
      <c r="H7" s="126">
        <v>9.8017252852326724</v>
      </c>
      <c r="I7" s="126">
        <v>194.74406008685546</v>
      </c>
      <c r="J7" s="126">
        <v>184.83614110565105</v>
      </c>
      <c r="L7" s="126">
        <v>56.154283297633448</v>
      </c>
      <c r="M7" s="126">
        <v>2.2795252255099134</v>
      </c>
      <c r="O7" s="126">
        <v>19.86834505352418</v>
      </c>
      <c r="P7" s="126">
        <v>0.80653497968430454</v>
      </c>
      <c r="Q7" s="126">
        <v>0.94912338288117493</v>
      </c>
      <c r="R7" s="126">
        <v>3.8528685014667829E-2</v>
      </c>
      <c r="T7" s="126">
        <v>38.096670805723427</v>
      </c>
    </row>
    <row r="8" spans="1:21" x14ac:dyDescent="0.25">
      <c r="A8" t="s">
        <v>24</v>
      </c>
      <c r="B8" s="126">
        <v>7.6595834032362502</v>
      </c>
      <c r="C8" s="126">
        <v>2.0296987339259513</v>
      </c>
      <c r="D8" s="126"/>
      <c r="E8" s="129">
        <v>248145.21798997698</v>
      </c>
      <c r="F8" s="129">
        <v>25558.842027340572</v>
      </c>
      <c r="H8" s="126">
        <v>12.585000496395157</v>
      </c>
      <c r="I8" s="126">
        <v>200.81170023228279</v>
      </c>
      <c r="J8" s="126">
        <v>184.16779478716938</v>
      </c>
      <c r="L8" s="126">
        <v>60.373803423976454</v>
      </c>
      <c r="M8" s="126">
        <v>2.4508126474387852</v>
      </c>
      <c r="O8" s="126">
        <v>15.956431649708971</v>
      </c>
      <c r="P8" s="126">
        <v>0.64773498234780558</v>
      </c>
      <c r="Q8" s="126">
        <v>0.91711685411825561</v>
      </c>
      <c r="R8" s="126">
        <v>3.7229418353319492E-2</v>
      </c>
      <c r="T8" s="126">
        <v>34.048612442467487</v>
      </c>
    </row>
    <row r="9" spans="1:21" x14ac:dyDescent="0.25">
      <c r="A9" t="s">
        <v>25</v>
      </c>
      <c r="B9" s="126">
        <v>8.3767631515443739</v>
      </c>
      <c r="C9" s="126">
        <v>2.0297404194436339</v>
      </c>
      <c r="D9" s="126"/>
      <c r="E9" s="129">
        <v>219343.33994695079</v>
      </c>
      <c r="F9" s="129">
        <v>23600.145253519557</v>
      </c>
      <c r="H9" s="126">
        <v>10.652991722217719</v>
      </c>
      <c r="I9" s="126">
        <v>206.49435232218886</v>
      </c>
      <c r="J9" s="126">
        <v>181.3057215963772</v>
      </c>
      <c r="L9" s="126">
        <v>59.784140760803353</v>
      </c>
      <c r="M9" s="126">
        <v>2.4269257388782051</v>
      </c>
      <c r="O9" s="126">
        <v>19.383695933183482</v>
      </c>
      <c r="P9" s="126">
        <v>0.78687742227575397</v>
      </c>
      <c r="Q9" s="126">
        <v>0.87801782255763405</v>
      </c>
      <c r="R9" s="126">
        <v>3.564296526874236E-2</v>
      </c>
      <c r="T9" s="126">
        <v>30.393042071476223</v>
      </c>
    </row>
    <row r="10" spans="1:21" x14ac:dyDescent="0.25">
      <c r="A10" t="s">
        <v>407</v>
      </c>
      <c r="B10" s="126">
        <v>8.2415037136018121</v>
      </c>
      <c r="C10" s="126">
        <v>2.0297454107768007</v>
      </c>
      <c r="D10" s="126"/>
      <c r="E10" s="129">
        <v>290030.39964950929</v>
      </c>
      <c r="F10" s="129">
        <v>25606.346259667804</v>
      </c>
      <c r="H10" s="126">
        <v>10.827896281566307</v>
      </c>
      <c r="I10" s="126">
        <v>225.47929884954192</v>
      </c>
      <c r="J10" s="126">
        <v>193.99670050280213</v>
      </c>
      <c r="L10" s="126">
        <v>64.471201042313311</v>
      </c>
      <c r="M10" s="126">
        <v>2.6172024888580783</v>
      </c>
      <c r="O10" s="126">
        <v>20.823924886813312</v>
      </c>
      <c r="P10" s="126">
        <v>0.84534531946740255</v>
      </c>
      <c r="Q10" s="126">
        <v>0.86037477272914742</v>
      </c>
      <c r="R10" s="126">
        <v>3.4926834929902395E-2</v>
      </c>
      <c r="T10" s="126">
        <v>37.265875401365456</v>
      </c>
    </row>
    <row r="11" spans="1:21" x14ac:dyDescent="0.25">
      <c r="A11" t="s">
        <v>408</v>
      </c>
      <c r="B11" s="126">
        <v>13.291520007969744</v>
      </c>
      <c r="C11" s="126">
        <v>2.0297127333128153</v>
      </c>
      <c r="D11" s="126"/>
      <c r="E11" s="129">
        <v>169604.59873594553</v>
      </c>
      <c r="F11" s="129">
        <v>15806.255403488482</v>
      </c>
      <c r="H11" s="126">
        <v>13.241608863238202</v>
      </c>
      <c r="I11" s="126">
        <v>198.1236223125824</v>
      </c>
      <c r="J11" s="126">
        <v>177.79177574744463</v>
      </c>
      <c r="L11" s="126">
        <v>60.385863590982261</v>
      </c>
      <c r="M11" s="126">
        <v>2.4513191248541486</v>
      </c>
      <c r="O11" s="126">
        <v>14.96220167495053</v>
      </c>
      <c r="P11" s="126">
        <v>0.60737942516082843</v>
      </c>
      <c r="Q11" s="126">
        <v>0.89737797882041581</v>
      </c>
      <c r="R11" s="126">
        <v>3.6428390204126318E-2</v>
      </c>
      <c r="T11" s="126">
        <v>23.267335566736783</v>
      </c>
    </row>
    <row r="12" spans="1:21" x14ac:dyDescent="0.25">
      <c r="A12" t="s">
        <v>409</v>
      </c>
      <c r="B12" s="126">
        <v>7.0621607642589375</v>
      </c>
      <c r="C12" s="126">
        <v>2.0296642311833724</v>
      </c>
      <c r="D12" s="126"/>
      <c r="E12" s="129">
        <v>222578.79373083523</v>
      </c>
      <c r="F12" s="129">
        <v>27834.190961872038</v>
      </c>
      <c r="H12" s="126">
        <v>11.361013848373974</v>
      </c>
      <c r="I12" s="126">
        <v>207.92181701088413</v>
      </c>
      <c r="J12" s="126">
        <v>221.75278743686272</v>
      </c>
      <c r="L12" s="126">
        <v>60.880349255241704</v>
      </c>
      <c r="M12" s="126">
        <v>2.4713333453063067</v>
      </c>
      <c r="O12" s="126">
        <v>18.301343505592381</v>
      </c>
      <c r="P12" s="126">
        <v>0.74291164591801928</v>
      </c>
      <c r="Q12" s="126">
        <v>1.0665200536663961</v>
      </c>
      <c r="R12" s="126">
        <v>4.3293552095329098E-2</v>
      </c>
      <c r="T12" s="126">
        <v>30.286153736604074</v>
      </c>
    </row>
    <row r="13" spans="1:21" x14ac:dyDescent="0.25">
      <c r="A13" t="s">
        <v>410</v>
      </c>
      <c r="B13" s="126">
        <v>8.9312709892663484</v>
      </c>
      <c r="C13" s="126">
        <v>2.0297333757067015</v>
      </c>
      <c r="D13" s="126"/>
      <c r="E13" s="129">
        <v>245589.20347826357</v>
      </c>
      <c r="F13" s="129">
        <v>23459.039132862796</v>
      </c>
      <c r="H13" s="126">
        <v>11.946532017050634</v>
      </c>
      <c r="I13" s="126">
        <v>238.75519745738953</v>
      </c>
      <c r="J13" s="126">
        <v>199.75629299296887</v>
      </c>
      <c r="L13" s="126">
        <v>68.741263389433513</v>
      </c>
      <c r="M13" s="126">
        <v>2.7905287317955678</v>
      </c>
      <c r="O13" s="126">
        <v>19.985314325247465</v>
      </c>
      <c r="P13" s="126">
        <v>0.81129719019888069</v>
      </c>
      <c r="Q13" s="126">
        <v>0.83665735917065942</v>
      </c>
      <c r="R13" s="126">
        <v>3.396382731878634E-2</v>
      </c>
      <c r="T13" s="126">
        <v>29.595559219218064</v>
      </c>
    </row>
    <row r="14" spans="1:21" x14ac:dyDescent="0.25">
      <c r="A14" t="s">
        <v>411</v>
      </c>
      <c r="B14" s="126">
        <v>9.0254895062243641</v>
      </c>
      <c r="C14" s="126">
        <v>2.0297246930248916</v>
      </c>
      <c r="D14" s="126"/>
      <c r="E14" s="129">
        <v>234449.6397648025</v>
      </c>
      <c r="F14" s="129">
        <v>23077.017051393679</v>
      </c>
      <c r="H14" s="126">
        <v>10.723145618330308</v>
      </c>
      <c r="I14" s="126">
        <v>234.64527040392687</v>
      </c>
      <c r="J14" s="126">
        <v>194.40964365624504</v>
      </c>
      <c r="L14" s="126">
        <v>66.537850116040076</v>
      </c>
      <c r="M14" s="126">
        <v>2.7010703480263136</v>
      </c>
      <c r="O14" s="126">
        <v>21.882130370664804</v>
      </c>
      <c r="P14" s="126">
        <v>0.88829400698656558</v>
      </c>
      <c r="Q14" s="126">
        <v>0.82852572873760133</v>
      </c>
      <c r="R14" s="126">
        <v>3.3633582608503049E-2</v>
      </c>
      <c r="T14" s="126">
        <v>29.18857892676942</v>
      </c>
    </row>
    <row r="15" spans="1:21" x14ac:dyDescent="0.25">
      <c r="A15" t="s">
        <v>412</v>
      </c>
      <c r="B15" s="126">
        <v>15.162265943526242</v>
      </c>
      <c r="C15" s="126">
        <v>2.0296951629735829</v>
      </c>
      <c r="D15" s="126"/>
      <c r="E15" s="129">
        <v>218281.08237019379</v>
      </c>
      <c r="F15" s="129">
        <v>15534.615646000491</v>
      </c>
      <c r="H15" s="126">
        <v>12.361315776637248</v>
      </c>
      <c r="I15" s="126">
        <v>211.52813201944508</v>
      </c>
      <c r="J15" s="126">
        <v>223.55840097036167</v>
      </c>
      <c r="L15" s="126">
        <v>62.737015157199828</v>
      </c>
      <c r="M15" s="126">
        <v>2.5467403240793778</v>
      </c>
      <c r="O15" s="126">
        <v>17.112104879581747</v>
      </c>
      <c r="P15" s="126">
        <v>0.69464713004767431</v>
      </c>
      <c r="Q15" s="126">
        <v>1.0568731394546171</v>
      </c>
      <c r="R15" s="126">
        <v>4.2902605980554821E-2</v>
      </c>
      <c r="T15" s="126">
        <v>28.822516784391404</v>
      </c>
    </row>
    <row r="16" spans="1:21" x14ac:dyDescent="0.25">
      <c r="A16" t="s">
        <v>413</v>
      </c>
      <c r="B16" s="126">
        <v>28.714256824892288</v>
      </c>
      <c r="C16" s="126">
        <v>2.0296865025917956</v>
      </c>
      <c r="D16" s="126"/>
      <c r="E16" s="129">
        <v>239297.07378014681</v>
      </c>
      <c r="F16" s="129">
        <v>10732.278448864137</v>
      </c>
      <c r="H16" s="126">
        <v>10.97326529764992</v>
      </c>
      <c r="I16" s="126">
        <v>200.22061498625129</v>
      </c>
      <c r="J16" s="126">
        <v>181.65397451236925</v>
      </c>
      <c r="L16" s="126">
        <v>58.618960417578627</v>
      </c>
      <c r="M16" s="126">
        <v>2.3795622551104412</v>
      </c>
      <c r="O16" s="126">
        <v>18.246220204767255</v>
      </c>
      <c r="P16" s="126">
        <v>0.74068213745867606</v>
      </c>
      <c r="Q16" s="126">
        <v>0.90726908677631923</v>
      </c>
      <c r="R16" s="126">
        <v>3.6829436392973591E-2</v>
      </c>
      <c r="T16" s="126">
        <v>33.817139686982955</v>
      </c>
    </row>
    <row r="17" spans="1:20" x14ac:dyDescent="0.25">
      <c r="A17" t="s">
        <v>414</v>
      </c>
      <c r="B17" s="126">
        <v>9.0586131312604898</v>
      </c>
      <c r="C17" s="126">
        <v>2.0296782565200999</v>
      </c>
      <c r="D17" s="126"/>
      <c r="E17" s="129">
        <v>192332.54203397792</v>
      </c>
      <c r="F17" s="129">
        <v>22792.571329636095</v>
      </c>
      <c r="H17" s="126">
        <v>11.47665200170991</v>
      </c>
      <c r="I17" s="126">
        <v>204.88129558015399</v>
      </c>
      <c r="J17" s="126">
        <v>185.50365673459493</v>
      </c>
      <c r="L17" s="126">
        <v>60.230961314084887</v>
      </c>
      <c r="M17" s="126">
        <v>2.4449894509700281</v>
      </c>
      <c r="O17" s="126">
        <v>17.852009065852016</v>
      </c>
      <c r="P17" s="126">
        <v>0.72467669272319069</v>
      </c>
      <c r="Q17" s="126">
        <v>0.90542016639104028</v>
      </c>
      <c r="R17" s="126">
        <v>3.6754232494774108E-2</v>
      </c>
      <c r="T17" s="126">
        <v>26.452777143908705</v>
      </c>
    </row>
    <row r="18" spans="1:20" x14ac:dyDescent="0.25">
      <c r="B18" s="126"/>
      <c r="C18" s="126"/>
      <c r="D18" s="126"/>
      <c r="E18" s="129"/>
      <c r="F18" s="129"/>
      <c r="H18" s="126"/>
      <c r="I18" s="126"/>
      <c r="J18" s="126"/>
      <c r="L18" s="126"/>
      <c r="M18" s="126"/>
      <c r="O18" s="126"/>
      <c r="P18" s="126"/>
      <c r="Q18" s="126"/>
      <c r="R18" s="126"/>
      <c r="T18" s="126"/>
    </row>
    <row r="19" spans="1:20" x14ac:dyDescent="0.25">
      <c r="A19" t="s">
        <v>415</v>
      </c>
      <c r="B19" s="126">
        <v>4.6965628152718555</v>
      </c>
      <c r="C19" s="126">
        <v>2.0296460763911361</v>
      </c>
      <c r="D19" s="126"/>
      <c r="E19" s="129">
        <v>43732.99907843503</v>
      </c>
      <c r="F19" s="129">
        <v>18067.569660987207</v>
      </c>
      <c r="H19" s="126">
        <v>18.813847210815222</v>
      </c>
      <c r="I19" s="126">
        <v>11.661197569562342</v>
      </c>
      <c r="J19" s="126">
        <v>196.98916230602737</v>
      </c>
      <c r="L19" s="126">
        <v>21.819724498665398</v>
      </c>
      <c r="M19" s="126">
        <v>0.88572636433303542</v>
      </c>
      <c r="O19" s="126">
        <v>0.61981993575768235</v>
      </c>
      <c r="P19" s="126">
        <v>2.516030201359172E-2</v>
      </c>
      <c r="Q19" s="126">
        <v>16.89270429824478</v>
      </c>
      <c r="R19" s="126">
        <v>0.68572421997136401</v>
      </c>
      <c r="T19" s="126">
        <v>16.608824629231503</v>
      </c>
    </row>
    <row r="20" spans="1:20" x14ac:dyDescent="0.25">
      <c r="A20" t="s">
        <v>416</v>
      </c>
      <c r="B20" s="126">
        <v>5.3280910643971797</v>
      </c>
      <c r="C20" s="126">
        <v>2.0295992452777112</v>
      </c>
      <c r="D20" s="126"/>
      <c r="E20" s="129">
        <v>94041.783364929477</v>
      </c>
      <c r="F20" s="129">
        <v>17021.758310015291</v>
      </c>
      <c r="H20" s="126">
        <v>41.268725174074802</v>
      </c>
      <c r="I20" s="126">
        <v>12.257371871856481</v>
      </c>
      <c r="J20" s="126">
        <v>233.82606171409054</v>
      </c>
      <c r="L20" s="126">
        <v>44.461432259749216</v>
      </c>
      <c r="M20" s="126">
        <v>1.8047777871670623</v>
      </c>
      <c r="O20" s="126">
        <v>0.29701358159608515</v>
      </c>
      <c r="P20" s="126">
        <v>1.2056370820892885E-2</v>
      </c>
      <c r="Q20" s="126">
        <v>19.076361895404879</v>
      </c>
      <c r="R20" s="126">
        <v>0.77434739411116471</v>
      </c>
      <c r="T20" s="126">
        <v>17.527909276843769</v>
      </c>
    </row>
    <row r="21" spans="1:20" x14ac:dyDescent="0.25">
      <c r="A21" t="s">
        <v>417</v>
      </c>
      <c r="B21" s="126">
        <v>5.8590886434501117</v>
      </c>
      <c r="C21" s="126">
        <v>2.0295559826507308</v>
      </c>
      <c r="D21" s="126"/>
      <c r="E21" s="129">
        <v>147416.55909788489</v>
      </c>
      <c r="F21" s="129">
        <v>16707.592199497129</v>
      </c>
      <c r="H21" s="126">
        <v>40.784759387966261</v>
      </c>
      <c r="I21" s="126">
        <v>14.89779770539706</v>
      </c>
      <c r="J21" s="126">
        <v>208.20171858043699</v>
      </c>
      <c r="L21" s="126">
        <v>44.571089160827931</v>
      </c>
      <c r="M21" s="126">
        <v>1.8091904131923495</v>
      </c>
      <c r="O21" s="126">
        <v>0.36527854838326512</v>
      </c>
      <c r="P21" s="126">
        <v>1.4827065264104605E-2</v>
      </c>
      <c r="Q21" s="126">
        <v>13.975335327919728</v>
      </c>
      <c r="R21" s="126">
        <v>0.567274508486592</v>
      </c>
      <c r="T21" s="126">
        <v>27.408355631686479</v>
      </c>
    </row>
    <row r="22" spans="1:20" x14ac:dyDescent="0.25">
      <c r="A22" t="s">
        <v>418</v>
      </c>
      <c r="B22" s="126">
        <v>6.0991554725990138</v>
      </c>
      <c r="C22" s="126">
        <v>2.0296356955409403</v>
      </c>
      <c r="D22" s="126"/>
      <c r="E22" s="129">
        <v>105782.48206511268</v>
      </c>
      <c r="F22" s="129">
        <v>15269.720138251763</v>
      </c>
      <c r="H22" s="126">
        <v>38.395268187276642</v>
      </c>
      <c r="I22" s="126">
        <v>10.746373359616923</v>
      </c>
      <c r="J22" s="126">
        <v>184.25690697487968</v>
      </c>
      <c r="L22" s="126">
        <v>41.16870486139927</v>
      </c>
      <c r="M22" s="126">
        <v>1.6711494585177158</v>
      </c>
      <c r="O22" s="126">
        <v>0.27988796190198345</v>
      </c>
      <c r="P22" s="126">
        <v>1.1361411964569367E-2</v>
      </c>
      <c r="Q22" s="126">
        <v>17.145961787191052</v>
      </c>
      <c r="R22" s="126">
        <v>0.69600112155327798</v>
      </c>
      <c r="T22" s="126">
        <v>21.293163425752265</v>
      </c>
    </row>
    <row r="23" spans="1:20" x14ac:dyDescent="0.25">
      <c r="A23" t="s">
        <v>419</v>
      </c>
      <c r="B23" s="126">
        <v>4.4844765347613125</v>
      </c>
      <c r="C23" s="126">
        <v>2.0296376195315879</v>
      </c>
      <c r="D23" s="126"/>
      <c r="E23" s="129">
        <v>125947.56554429613</v>
      </c>
      <c r="F23" s="129">
        <v>20367.95470523298</v>
      </c>
      <c r="H23" s="126">
        <v>35.82826106395153</v>
      </c>
      <c r="I23" s="126">
        <v>23.655815877896345</v>
      </c>
      <c r="J23" s="126">
        <v>299.35045061643251</v>
      </c>
      <c r="L23" s="126">
        <v>41.801766269794747</v>
      </c>
      <c r="M23" s="126">
        <v>1.6968487476808407</v>
      </c>
      <c r="O23" s="126">
        <v>0.66025576389744334</v>
      </c>
      <c r="P23" s="126">
        <v>2.6801598738376339E-2</v>
      </c>
      <c r="Q23" s="126">
        <v>12.654412435469675</v>
      </c>
      <c r="R23" s="126">
        <v>0.51367743064195193</v>
      </c>
      <c r="T23" s="126">
        <v>24.967379910288276</v>
      </c>
    </row>
    <row r="24" spans="1:20" x14ac:dyDescent="0.25">
      <c r="B24" s="126"/>
      <c r="C24" s="126"/>
      <c r="D24" s="126"/>
      <c r="E24" s="129"/>
      <c r="F24" s="129"/>
      <c r="H24" s="126"/>
      <c r="I24" s="126"/>
      <c r="J24" s="126"/>
      <c r="L24" s="126"/>
      <c r="M24" s="126"/>
      <c r="O24" s="126"/>
      <c r="P24" s="126"/>
      <c r="Q24" s="126"/>
      <c r="R24" s="126"/>
      <c r="T24" s="126"/>
    </row>
    <row r="25" spans="1:20" x14ac:dyDescent="0.25">
      <c r="A25" t="s">
        <v>405</v>
      </c>
      <c r="B25" s="126">
        <v>2.2969934963316612</v>
      </c>
      <c r="C25" s="126">
        <v>2.029660668522852</v>
      </c>
      <c r="D25" s="126"/>
      <c r="E25" s="129">
        <v>108622.01858169035</v>
      </c>
      <c r="F25" s="129">
        <v>38779.594543405183</v>
      </c>
      <c r="H25" s="126">
        <v>13.004051335419662</v>
      </c>
      <c r="I25" s="126">
        <v>46.836554163164763</v>
      </c>
      <c r="J25" s="126">
        <v>270.46901536668332</v>
      </c>
      <c r="L25" s="126">
        <v>24.431955931515851</v>
      </c>
      <c r="M25" s="126">
        <v>0.99177160018562638</v>
      </c>
      <c r="O25" s="126">
        <v>3.601689423940841</v>
      </c>
      <c r="P25" s="126">
        <v>0.14620414728014905</v>
      </c>
      <c r="Q25" s="126">
        <v>5.7747419766289587</v>
      </c>
      <c r="R25" s="126">
        <v>0.23441533321663419</v>
      </c>
      <c r="T25" s="126">
        <v>36.835744621312244</v>
      </c>
    </row>
    <row r="26" spans="1:20" x14ac:dyDescent="0.25">
      <c r="A26" t="s">
        <v>405</v>
      </c>
      <c r="B26" s="126">
        <v>10.788334514674945</v>
      </c>
      <c r="C26" s="126">
        <v>2.0297051169469582</v>
      </c>
      <c r="D26" s="126"/>
      <c r="E26" s="129">
        <v>181347.18045145296</v>
      </c>
      <c r="F26" s="129">
        <v>11452.438519018704</v>
      </c>
      <c r="H26" s="126">
        <v>40.48587242047509</v>
      </c>
      <c r="I26" s="126">
        <v>30.844051016573086</v>
      </c>
      <c r="J26" s="126">
        <v>340.51545388187969</v>
      </c>
      <c r="L26" s="126">
        <v>48.212846455336134</v>
      </c>
      <c r="M26" s="126">
        <v>1.9571572230594754</v>
      </c>
      <c r="O26" s="126">
        <v>0.76184726109481571</v>
      </c>
      <c r="P26" s="126">
        <v>3.0926505683523457E-2</v>
      </c>
      <c r="Q26" s="126">
        <v>11.039906972625429</v>
      </c>
      <c r="R26" s="126">
        <v>0.44815511345912468</v>
      </c>
      <c r="T26" s="126">
        <v>31.168953699035566</v>
      </c>
    </row>
    <row r="27" spans="1:20" x14ac:dyDescent="0.25">
      <c r="A27" t="s">
        <v>405</v>
      </c>
      <c r="B27" s="126">
        <v>8.2690094189599179</v>
      </c>
      <c r="C27" s="126">
        <v>2.0296667430813544</v>
      </c>
      <c r="D27" s="126"/>
      <c r="E27" s="129">
        <v>254210.58989757561</v>
      </c>
      <c r="F27" s="129">
        <v>15258.168922227875</v>
      </c>
      <c r="H27" s="126">
        <v>40.427819503379659</v>
      </c>
      <c r="I27" s="126">
        <v>29.372100081448476</v>
      </c>
      <c r="J27" s="126">
        <v>265.39620530720748</v>
      </c>
      <c r="L27" s="126">
        <v>47.713121823757199</v>
      </c>
      <c r="M27" s="126">
        <v>1.9368347314853833</v>
      </c>
      <c r="O27" s="126">
        <v>0.7265318892351601</v>
      </c>
      <c r="P27" s="126">
        <v>2.9492352267373415E-2</v>
      </c>
      <c r="Q27" s="126">
        <v>9.0356564417003558</v>
      </c>
      <c r="R27" s="126">
        <v>0.36678742763256039</v>
      </c>
      <c r="T27" s="126">
        <v>44.150088750007342</v>
      </c>
    </row>
    <row r="28" spans="1:20" x14ac:dyDescent="0.25">
      <c r="A28" t="s">
        <v>405</v>
      </c>
      <c r="B28" s="126">
        <v>4.2209091433758816</v>
      </c>
      <c r="C28" s="126">
        <v>2.029677204159821</v>
      </c>
      <c r="D28" s="126"/>
      <c r="E28" s="129">
        <v>92142.07459858738</v>
      </c>
      <c r="F28" s="129">
        <v>21613.909647584976</v>
      </c>
      <c r="H28" s="126">
        <v>31.936912407822454</v>
      </c>
      <c r="I28" s="126">
        <v>9.1138082763775312</v>
      </c>
      <c r="J28" s="126">
        <v>190.47809612566812</v>
      </c>
      <c r="L28" s="126">
        <v>34.331395204040824</v>
      </c>
      <c r="M28" s="126">
        <v>1.3936330046528695</v>
      </c>
      <c r="O28" s="126">
        <v>0.28536911020068567</v>
      </c>
      <c r="P28" s="126">
        <v>1.1584143554914071E-2</v>
      </c>
      <c r="Q28" s="126">
        <v>20.89994548375309</v>
      </c>
      <c r="R28" s="126">
        <v>0.84840285833113294</v>
      </c>
      <c r="T28" s="126">
        <v>22.241274695170354</v>
      </c>
    </row>
    <row r="29" spans="1:20" x14ac:dyDescent="0.25">
      <c r="B29" s="126"/>
      <c r="C29" s="126"/>
      <c r="D29" s="126"/>
      <c r="E29" s="129"/>
      <c r="F29" s="129"/>
      <c r="H29" s="126"/>
      <c r="I29" s="126"/>
      <c r="J29" s="126"/>
      <c r="L29" s="126"/>
      <c r="M29" s="126"/>
      <c r="O29" s="126"/>
      <c r="P29" s="126"/>
      <c r="Q29" s="126"/>
      <c r="R29" s="126"/>
      <c r="T29" s="126"/>
    </row>
    <row r="30" spans="1:20" x14ac:dyDescent="0.25">
      <c r="A30" t="s">
        <v>406</v>
      </c>
      <c r="B30" s="126">
        <v>4.9933086026838751</v>
      </c>
      <c r="C30" s="126">
        <v>2.0296029095366737</v>
      </c>
      <c r="D30" s="126"/>
      <c r="E30" s="129">
        <v>166853.60819563223</v>
      </c>
      <c r="F30" s="129">
        <v>20485.497254804715</v>
      </c>
      <c r="H30" s="126">
        <v>39.128427278682658</v>
      </c>
      <c r="I30" s="126">
        <v>28.961388809936281</v>
      </c>
      <c r="J30" s="126">
        <v>345.42839231275951</v>
      </c>
      <c r="L30" s="126">
        <v>46.415593344079397</v>
      </c>
      <c r="M30" s="126">
        <v>1.8841044659802921</v>
      </c>
      <c r="O30" s="126">
        <v>0.74016235315735712</v>
      </c>
      <c r="P30" s="126">
        <v>3.0044713309953661E-2</v>
      </c>
      <c r="Q30" s="126">
        <v>11.927203994935747</v>
      </c>
      <c r="R30" s="126">
        <v>0.48414975861518061</v>
      </c>
      <c r="T30" s="126">
        <v>29.788358340375034</v>
      </c>
    </row>
    <row r="31" spans="1:20" x14ac:dyDescent="0.25">
      <c r="A31" t="s">
        <v>420</v>
      </c>
      <c r="B31" s="126">
        <v>6.5813617414054688</v>
      </c>
      <c r="C31" s="126">
        <v>2.0296650489639205</v>
      </c>
      <c r="D31" s="126"/>
      <c r="E31" s="129">
        <v>195914.17632544774</v>
      </c>
      <c r="F31" s="129">
        <v>16923.340124553528</v>
      </c>
      <c r="H31" s="126">
        <v>51.517366966829414</v>
      </c>
      <c r="I31" s="126">
        <v>33.458966920225805</v>
      </c>
      <c r="J31" s="126">
        <v>390.32890540792056</v>
      </c>
      <c r="L31" s="126">
        <v>59.92536817364212</v>
      </c>
      <c r="M31" s="126">
        <v>2.4325685065667257</v>
      </c>
      <c r="O31" s="126">
        <v>0.64946966217759328</v>
      </c>
      <c r="P31" s="126">
        <v>2.6364117473685313E-2</v>
      </c>
      <c r="Q31" s="126">
        <v>11.665898302794529</v>
      </c>
      <c r="R31" s="126">
        <v>0.4735573209989915</v>
      </c>
      <c r="T31" s="126">
        <v>27.091529176766652</v>
      </c>
    </row>
    <row r="32" spans="1:20" x14ac:dyDescent="0.25">
      <c r="A32" t="s">
        <v>421</v>
      </c>
      <c r="B32" s="126">
        <v>5.0696051968738791</v>
      </c>
      <c r="C32" s="126">
        <v>2.0296216521489483</v>
      </c>
      <c r="D32" s="126"/>
      <c r="E32" s="129">
        <v>54504.948699894536</v>
      </c>
      <c r="F32" s="129">
        <v>17863.121994184126</v>
      </c>
      <c r="H32" s="126">
        <v>35.53036386649913</v>
      </c>
      <c r="I32" s="126">
        <v>20.989863819776048</v>
      </c>
      <c r="J32" s="126">
        <v>283.06568680115623</v>
      </c>
      <c r="L32" s="126">
        <v>40.852287047565781</v>
      </c>
      <c r="M32" s="126">
        <v>1.6582937266308706</v>
      </c>
      <c r="O32" s="126">
        <v>0.59075848191824931</v>
      </c>
      <c r="P32" s="126">
        <v>2.3980324121838436E-2</v>
      </c>
      <c r="Q32" s="126">
        <v>13.485827694339775</v>
      </c>
      <c r="R32" s="126">
        <v>0.54742255771163872</v>
      </c>
      <c r="T32" s="126">
        <v>11.056050894200364</v>
      </c>
    </row>
    <row r="33" spans="1:20" x14ac:dyDescent="0.25">
      <c r="A33" t="s">
        <v>422</v>
      </c>
      <c r="B33" s="126">
        <v>6.5654234203673187</v>
      </c>
      <c r="C33" s="126">
        <v>2.0296475349581766</v>
      </c>
      <c r="D33" s="126"/>
      <c r="E33" s="129">
        <v>189730.53402194617</v>
      </c>
      <c r="F33" s="129">
        <v>16750.836799633951</v>
      </c>
      <c r="H33" s="126">
        <v>40.708878429592062</v>
      </c>
      <c r="I33" s="126">
        <v>22.303048854595367</v>
      </c>
      <c r="J33" s="126">
        <v>391.8953405848697</v>
      </c>
      <c r="L33" s="126">
        <v>46.476628627085425</v>
      </c>
      <c r="M33" s="126">
        <v>1.8866234945226112</v>
      </c>
      <c r="O33" s="126">
        <v>0.5478669448771365</v>
      </c>
      <c r="P33" s="126">
        <v>2.2239535883098949E-2</v>
      </c>
      <c r="Q33" s="126">
        <v>17.571379731077567</v>
      </c>
      <c r="R33" s="126">
        <v>0.7132741511399131</v>
      </c>
      <c r="T33" s="126">
        <v>33.828627116640313</v>
      </c>
    </row>
    <row r="34" spans="1:20" x14ac:dyDescent="0.25">
      <c r="A34" t="s">
        <v>423</v>
      </c>
      <c r="B34" s="126">
        <v>6.5566462275688657</v>
      </c>
      <c r="C34" s="126">
        <v>2.0296717097128871</v>
      </c>
      <c r="D34" s="126"/>
      <c r="E34" s="129">
        <v>191424.31651223102</v>
      </c>
      <c r="F34" s="129">
        <v>16776.469225359862</v>
      </c>
      <c r="H34" s="126">
        <v>43.949976493259371</v>
      </c>
      <c r="I34" s="126">
        <v>27.808244006509888</v>
      </c>
      <c r="J34" s="126">
        <v>312.81895758304142</v>
      </c>
      <c r="L34" s="126">
        <v>50.923635327007929</v>
      </c>
      <c r="M34" s="126">
        <v>2.0671652395792752</v>
      </c>
      <c r="O34" s="126">
        <v>0.63272488918793512</v>
      </c>
      <c r="P34" s="126">
        <v>2.5684476152319467E-2</v>
      </c>
      <c r="Q34" s="126">
        <v>11.249144588554772</v>
      </c>
      <c r="R34" s="126">
        <v>0.45664141059718871</v>
      </c>
      <c r="T34" s="126">
        <v>31.14990867970414</v>
      </c>
    </row>
    <row r="35" spans="1:20" x14ac:dyDescent="0.25">
      <c r="B35" s="126"/>
      <c r="C35" s="126"/>
      <c r="D35" s="126"/>
      <c r="E35" s="129"/>
      <c r="F35" s="129"/>
      <c r="H35" s="126"/>
      <c r="I35" s="126"/>
      <c r="J35" s="126"/>
      <c r="L35" s="126"/>
      <c r="M35" s="126"/>
      <c r="O35" s="126"/>
      <c r="P35" s="126"/>
      <c r="Q35" s="126"/>
      <c r="R35" s="126"/>
      <c r="T35" s="126"/>
    </row>
    <row r="36" spans="1:20" x14ac:dyDescent="0.25">
      <c r="A36" t="s">
        <v>424</v>
      </c>
      <c r="B36" s="126">
        <v>4.7346039674158549</v>
      </c>
      <c r="C36" s="126">
        <v>2.0296833439804267</v>
      </c>
      <c r="D36" s="126"/>
      <c r="E36" s="129">
        <v>201981.99249396552</v>
      </c>
      <c r="F36" s="129">
        <v>20902.281514790211</v>
      </c>
      <c r="H36" s="126">
        <v>32.152813832741856</v>
      </c>
      <c r="I36" s="126">
        <v>21.102040472389003</v>
      </c>
      <c r="J36" s="126">
        <v>347.99074170213584</v>
      </c>
      <c r="L36" s="126">
        <v>37.581729140076241</v>
      </c>
      <c r="M36" s="126">
        <v>1.5255801934719315</v>
      </c>
      <c r="O36" s="126">
        <v>0.65630462646788235</v>
      </c>
      <c r="P36" s="126">
        <v>2.6641811378383125E-2</v>
      </c>
      <c r="Q36" s="126">
        <v>16.4908574674314</v>
      </c>
      <c r="R36" s="126">
        <v>0.66942437459201509</v>
      </c>
      <c r="T36" s="126">
        <v>44.536224051319216</v>
      </c>
    </row>
    <row r="37" spans="1:20" x14ac:dyDescent="0.25">
      <c r="A37" t="s">
        <v>425</v>
      </c>
      <c r="B37" s="126">
        <v>5.6655982561347189</v>
      </c>
      <c r="C37" s="126">
        <v>2.0296564061357412</v>
      </c>
      <c r="D37" s="126"/>
      <c r="E37" s="129">
        <v>126833.65559365523</v>
      </c>
      <c r="F37" s="129">
        <v>16587.558971041617</v>
      </c>
      <c r="H37" s="126">
        <v>32.434038793251283</v>
      </c>
      <c r="I37" s="126">
        <v>15.627182304247516</v>
      </c>
      <c r="J37" s="126">
        <v>303.35916120063769</v>
      </c>
      <c r="L37" s="126">
        <v>36.510991001981417</v>
      </c>
      <c r="M37" s="126">
        <v>1.4820953356307198</v>
      </c>
      <c r="O37" s="126">
        <v>0.48181425704834341</v>
      </c>
      <c r="P37" s="126">
        <v>1.9558347867714057E-2</v>
      </c>
      <c r="Q37" s="126">
        <v>19.412275053461411</v>
      </c>
      <c r="R37" s="126">
        <v>0.78800496839853973</v>
      </c>
      <c r="T37" s="126">
        <v>28.786923498018648</v>
      </c>
    </row>
    <row r="38" spans="1:20" x14ac:dyDescent="0.25">
      <c r="A38" t="s">
        <v>426</v>
      </c>
      <c r="B38" s="126">
        <v>7.2502216263110704</v>
      </c>
      <c r="C38" s="126">
        <v>2.0296449096408296</v>
      </c>
      <c r="D38" s="126"/>
      <c r="E38" s="129">
        <v>202461.87402126411</v>
      </c>
      <c r="F38" s="129">
        <v>15037.666589667473</v>
      </c>
      <c r="H38" s="126">
        <v>44.500159594494939</v>
      </c>
      <c r="I38" s="126">
        <v>27.276763124499833</v>
      </c>
      <c r="J38" s="126">
        <v>395.0861199024684</v>
      </c>
      <c r="L38" s="126">
        <v>51.449847350405676</v>
      </c>
      <c r="M38" s="126">
        <v>2.0884984155309718</v>
      </c>
      <c r="O38" s="126">
        <v>0.61295877077875038</v>
      </c>
      <c r="P38" s="126">
        <v>2.4881772978615813E-2</v>
      </c>
      <c r="Q38" s="126">
        <v>14.484347651485242</v>
      </c>
      <c r="R38" s="126">
        <v>0.58796164960610253</v>
      </c>
      <c r="T38" s="126">
        <v>32.609085897160703</v>
      </c>
    </row>
    <row r="39" spans="1:20" x14ac:dyDescent="0.25">
      <c r="A39" t="s">
        <v>427</v>
      </c>
      <c r="B39" s="126">
        <v>5.1936498207132464</v>
      </c>
      <c r="C39" s="126">
        <v>2.0297204708508243</v>
      </c>
      <c r="D39" s="126"/>
      <c r="E39" s="129">
        <v>227773.02801417935</v>
      </c>
      <c r="F39" s="129">
        <v>19817.481501229613</v>
      </c>
      <c r="H39" s="126">
        <v>50.350876190523536</v>
      </c>
      <c r="I39" s="126">
        <v>20.341209756165977</v>
      </c>
      <c r="J39" s="126">
        <v>367.23739441461879</v>
      </c>
      <c r="L39" s="126">
        <v>55.623435946471908</v>
      </c>
      <c r="M39" s="126">
        <v>2.2580005319922725</v>
      </c>
      <c r="O39" s="126">
        <v>0.40398919135382122</v>
      </c>
      <c r="P39" s="126">
        <v>1.6399702633866434E-2</v>
      </c>
      <c r="Q39" s="126">
        <v>18.053862027714413</v>
      </c>
      <c r="R39" s="126">
        <v>0.73288586671136624</v>
      </c>
      <c r="T39" s="126">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plot_range" size="large" label="Plot from selections" imageMso="SlideMasterChartPlaceholderInsert" onAction="OnActionButton" visible="true"/>
          <button id="plot_header" size="large" label="Plot from header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onAction="OnActionTglButton"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toggleButton id="font" label="White background" imageMso="AppointmentColor0" onAction="OnActionTglButton" getPressed="GetPressedTglButton" getEnabled="GetEnabled" visible="true"/>
          <button id="add_timescale" label="Add a time scale" imageMso="AutoCorrect" onAction="OnActionButton" visible="true"/>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2024-03-02T16:13:59Z</dcterms:modified>
</cp:coreProperties>
</file>