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f9f68acdddf438f"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02" codeName="{657A6CF4-780A-29F0-665F-34B82A1D2417}"/>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
    </mc:Choice>
  </mc:AlternateContent>
  <xr:revisionPtr revIDLastSave="0" documentId="13_ncr:1_{63E78C6A-C647-446C-A28E-ECAEE3900EFB}" xr6:coauthVersionLast="47" xr6:coauthVersionMax="47" xr10:uidLastSave="{00000000-0000-0000-0000-000000000000}"/>
  <bookViews>
    <workbookView xWindow="-120" yWindow="-120" windowWidth="29040" windowHeight="15840" tabRatio="627" xr2:uid="{28FFA4F8-1CF4-4B08-A5AD-03CAF56ACE26}"/>
  </bookViews>
  <sheets>
    <sheet name="Data &amp; Graphics" sheetId="73" r:id="rId1"/>
    <sheet name="Layout" sheetId="72" r:id="rId2"/>
    <sheet name="Graphics list" sheetId="75" r:id="rId3"/>
    <sheet name="Normalisation" sheetId="57" state="hidden" r:id="rId4"/>
    <sheet name="DATA" sheetId="25" state="hidden" r:id="rId5"/>
    <sheet name="Example" sheetId="51" state="hidden" r:id="rId6"/>
  </sheets>
  <functionGroups builtInGroupCount="19"/>
  <definedNames>
    <definedName name="_xlnm._FilterDatabase" localSheetId="4" hidden="1">DATA!$A$8:$H$102</definedName>
    <definedName name="_xlnm._FilterDatabase" localSheetId="5" hidden="1">Example!#REF!</definedName>
    <definedName name="_xleta.COVARIANCE.P" hidden="1" xlm="1">#NAME?</definedName>
    <definedName name="_xleta.COVARIANCE.S" hidden="1" xlm="1">#NAME?</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1" i="7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<sst xmlns="http://schemas.openxmlformats.org/spreadsheetml/2006/main" count="1087" uniqueCount="676">
  <si>
    <t>Mise en page graph :</t>
  </si>
  <si>
    <t>Rond</t>
  </si>
  <si>
    <t>Diamant</t>
  </si>
  <si>
    <t>Carré</t>
  </si>
  <si>
    <t>Triangle</t>
  </si>
  <si>
    <t>Liste variable :</t>
  </si>
  <si>
    <t>Sample A1</t>
  </si>
  <si>
    <t>Sample A2</t>
  </si>
  <si>
    <t>Sample A3</t>
  </si>
  <si>
    <t>Sample A4</t>
  </si>
  <si>
    <t>Sample A5</t>
  </si>
  <si>
    <t>Sample A6</t>
  </si>
  <si>
    <t>unit</t>
  </si>
  <si>
    <t>number of selected graphics :</t>
  </si>
  <si>
    <t>%</t>
  </si>
  <si>
    <t>type de graphique :</t>
  </si>
  <si>
    <t>HeadLine Start :</t>
  </si>
  <si>
    <t>traitement par similitude :</t>
  </si>
  <si>
    <t>type de traitement pour les noms :</t>
  </si>
  <si>
    <t>nombre de colonne de graph :</t>
  </si>
  <si>
    <t>Type de graph :</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</si>
  <si>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</si>
  <si>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</si>
  <si>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</si>
  <si>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</si>
  <si>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</si>
  <si>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</si>
  <si>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</si>
  <si>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</si>
  <si>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</si>
  <si>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</si>
  <si>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</si>
  <si>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</si>
  <si>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</si>
  <si>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</si>
  <si>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End-line :</t>
  </si>
  <si>
    <t>Marker form</t>
  </si>
  <si>
    <t>Line form</t>
  </si>
  <si>
    <t>Circle</t>
  </si>
  <si>
    <t>Diamand</t>
  </si>
  <si>
    <t>Scarre</t>
  </si>
  <si>
    <t>Pyramid</t>
  </si>
  <si>
    <t>Solid</t>
  </si>
  <si>
    <t>Dash</t>
  </si>
  <si>
    <t>Long dash</t>
  </si>
  <si>
    <t>Doted</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</si>
  <si>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</si>
  <si>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</si>
  <si>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</si>
  <si>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</si>
  <si>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</si>
  <si>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</si>
  <si>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</si>
  <si>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</si>
  <si>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</si>
  <si>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</si>
  <si>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</si>
  <si>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</si>
  <si>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</si>
  <si>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</si>
  <si>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</si>
  <si>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</si>
  <si>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</si>
  <si>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</si>
  <si>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</si>
  <si>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</si>
  <si>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</si>
  <si>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</si>
  <si>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</si>
  <si>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</si>
  <si>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</si>
  <si>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</si>
  <si>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</si>
  <si>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</si>
  <si>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</si>
  <si>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</si>
  <si>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</si>
  <si>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</si>
  <si>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</si>
  <si>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</si>
  <si>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</si>
  <si>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</si>
  <si>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</si>
  <si>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</si>
  <si>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</si>
  <si>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</si>
  <si>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</si>
  <si>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</si>
  <si>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</si>
  <si>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</si>
  <si>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</si>
  <si>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</si>
  <si>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</si>
  <si>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</si>
  <si>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</si>
  <si>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</si>
  <si>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</si>
  <si>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</si>
  <si>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</si>
  <si>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</si>
  <si>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</si>
  <si>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</si>
  <si>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</si>
  <si>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</si>
  <si>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</si>
  <si>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</si>
  <si>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</si>
  <si>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</si>
  <si>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</si>
  <si>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</si>
  <si>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</si>
  <si>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</si>
  <si>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</si>
  <si>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</si>
  <si>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</si>
  <si>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</si>
  <si>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</si>
  <si>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</si>
  <si>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</si>
  <si>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</si>
  <si>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</si>
  <si>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</si>
  <si>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</si>
  <si>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</si>
  <si>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</si>
  <si>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</si>
  <si>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</si>
  <si>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</si>
  <si>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</si>
  <si>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</si>
  <si>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</si>
  <si>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</si>
  <si>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</si>
  <si>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</si>
  <si>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</si>
  <si>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</si>
  <si>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</si>
  <si>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</si>
  <si>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</si>
  <si>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</si>
  <si>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</si>
  <si>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</si>
  <si>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</si>
  <si>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</si>
  <si>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</si>
  <si>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</si>
  <si>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</si>
  <si>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</si>
  <si>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</si>
  <si>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</si>
  <si>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</si>
  <si>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</si>
  <si>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</si>
  <si>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</si>
  <si>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</si>
  <si>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</si>
  <si>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</si>
  <si>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</si>
  <si>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</si>
  <si>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</si>
  <si>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</si>
  <si>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</si>
  <si>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</si>
  <si>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</si>
  <si>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</si>
  <si>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</si>
  <si>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</si>
  <si>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</si>
  <si>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</si>
  <si>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</si>
  <si>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</si>
  <si>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</si>
  <si>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</si>
  <si>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</si>
  <si>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</si>
  <si>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</si>
  <si>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</si>
  <si>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</si>
  <si>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</si>
  <si>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</si>
  <si>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</si>
  <si>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</si>
  <si>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</si>
  <si>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</si>
  <si>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</si>
  <si>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</si>
  <si>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</si>
  <si>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</si>
  <si>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</si>
  <si>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</si>
  <si>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</si>
  <si>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</si>
  <si>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</si>
  <si>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</si>
  <si>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</si>
  <si>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</si>
  <si>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</si>
  <si>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</si>
  <si>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</si>
  <si>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</si>
  <si>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</si>
  <si>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</si>
  <si>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</si>
  <si>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</si>
  <si>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</si>
  <si>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</si>
  <si>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</si>
  <si>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</si>
  <si>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</si>
  <si>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</si>
  <si>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</si>
  <si>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</si>
  <si>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</si>
  <si>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</si>
  <si>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</si>
  <si>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</si>
  <si>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</si>
  <si>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</si>
  <si>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</si>
  <si>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</si>
  <si>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</si>
  <si>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</si>
  <si>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</si>
  <si>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</si>
  <si>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</si>
  <si>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</si>
  <si>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</si>
  <si>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</si>
  <si>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</si>
  <si>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</si>
  <si>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</si>
  <si>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</si>
  <si>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</si>
  <si>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</si>
  <si>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</si>
  <si>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</si>
  <si>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</si>
  <si>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</si>
  <si>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</si>
  <si>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</si>
  <si>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</si>
  <si>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</si>
  <si>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</si>
  <si>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</si>
  <si>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</si>
  <si>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</si>
  <si>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</si>
  <si>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</si>
  <si>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</si>
  <si>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</si>
  <si>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</si>
  <si>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</si>
  <si>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</si>
  <si>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Reference</t>
  </si>
  <si>
    <t>element :</t>
  </si>
  <si>
    <t>unit :</t>
  </si>
  <si>
    <t>[ppm]</t>
  </si>
  <si>
    <t>Normalisation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</si>
  <si>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</si>
  <si>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</si>
  <si>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</si>
  <si>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</si>
  <si>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</si>
  <si>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</si>
  <si>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</si>
  <si>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</si>
  <si>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</si>
  <si>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</si>
  <si>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</si>
  <si>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</si>
  <si>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</si>
  <si>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</si>
  <si>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</si>
  <si>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</si>
  <si>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</si>
  <si>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</si>
  <si>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</si>
  <si>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</si>
  <si>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</si>
  <si>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</si>
  <si>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</si>
  <si>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</si>
  <si>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</si>
  <si>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</si>
  <si>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</si>
  <si>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</si>
  <si>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</si>
  <si>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</si>
  <si>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</si>
  <si>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</si>
  <si>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</si>
  <si>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</si>
  <si>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</si>
  <si>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</si>
  <si>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</si>
  <si>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</si>
  <si>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</si>
  <si>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t>
  </si>
  <si>
    <t>intervalle (Histograme) :</t>
  </si>
  <si>
    <t>Z min (XY-Z color) :</t>
  </si>
  <si>
    <t>Z max (XY-Z color) :</t>
  </si>
  <si>
    <t>XY-Zcolor</t>
  </si>
  <si>
    <t>Series name :</t>
  </si>
  <si>
    <t>Color</t>
  </si>
  <si>
    <t>Shape</t>
  </si>
  <si>
    <t>Size</t>
  </si>
  <si>
    <t>Transparency</t>
  </si>
  <si>
    <t>Line</t>
  </si>
  <si>
    <t>Thickness</t>
  </si>
  <si>
    <t>Right click on the column "color" to display the colors window</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</si>
  <si>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</si>
  <si>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</si>
  <si>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</si>
  <si>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</si>
  <si>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</si>
  <si>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</si>
  <si>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XY - stacked graphic(s) (constant X)</t>
  </si>
  <si>
    <t>Z-scale (min)</t>
  </si>
  <si>
    <t>Z-scale (max)</t>
  </si>
  <si>
    <t>Z inter (XY-Z color) :</t>
  </si>
  <si>
    <t xml:space="preserve">Z round (XY-Z color) : </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</si>
  <si>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</si>
  <si>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</si>
  <si>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</si>
  <si>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</si>
  <si>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</si>
  <si>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</si>
  <si>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</si>
  <si>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</si>
  <si>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</si>
  <si>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</si>
  <si>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</si>
  <si>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</si>
  <si>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</si>
  <si>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</si>
  <si>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</si>
  <si>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</si>
  <si>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</si>
  <si>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</si>
  <si>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</si>
  <si>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</si>
  <si>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</si>
  <si>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</si>
  <si>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</si>
  <si>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</si>
  <si>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</si>
  <si>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</si>
  <si>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</si>
  <si>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</si>
  <si>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</si>
  <si>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</si>
  <si>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</si>
  <si>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</si>
  <si>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</si>
  <si>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</si>
  <si>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</si>
  <si>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</si>
  <si>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</si>
  <si>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</si>
  <si>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</si>
  <si>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</si>
  <si>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</si>
  <si>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</si>
  <si>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</si>
  <si>
    <t>Personnal layout for plot</t>
  </si>
  <si>
    <t>Personnal layout :</t>
  </si>
  <si>
    <t>mémoire info axe (statistical-plot) :</t>
  </si>
  <si>
    <t>weighted KDE (peak) :</t>
  </si>
  <si>
    <t>Age [Ma]</t>
  </si>
  <si>
    <t>point (opt) :</t>
  </si>
  <si>
    <t>line (opt) :</t>
  </si>
  <si>
    <t>smooth (opt) :</t>
  </si>
  <si>
    <t>Histogram</t>
  </si>
  <si>
    <t>Ternary diag.</t>
  </si>
  <si>
    <t>Spectrum / spider</t>
  </si>
  <si>
    <t>Concentration [µg/g]</t>
  </si>
  <si>
    <t>Geologic time scale color</t>
  </si>
  <si>
    <t>Phanerozoic</t>
  </si>
  <si>
    <t>Precambrian</t>
  </si>
  <si>
    <t>Cenozoic</t>
  </si>
  <si>
    <t>Mesozoic</t>
  </si>
  <si>
    <t>Paleozoic</t>
  </si>
  <si>
    <t>Proterozoic</t>
  </si>
  <si>
    <t>Archean</t>
  </si>
  <si>
    <t>Hadean</t>
  </si>
  <si>
    <t>Quaternary</t>
  </si>
  <si>
    <t>Neogene</t>
  </si>
  <si>
    <t>Paleogene</t>
  </si>
  <si>
    <t>Cretaceous</t>
  </si>
  <si>
    <t>Jurassic</t>
  </si>
  <si>
    <t>Triassic</t>
  </si>
  <si>
    <t>Permian</t>
  </si>
  <si>
    <t>Carboniferous</t>
  </si>
  <si>
    <t>Devonian</t>
  </si>
  <si>
    <t>Silurian</t>
  </si>
  <si>
    <t>Ordovician</t>
  </si>
  <si>
    <t>Cambrian</t>
  </si>
  <si>
    <t>Neo-proterozoic</t>
  </si>
  <si>
    <t>Meso-proterozoic</t>
  </si>
  <si>
    <t>Paleo-proterozoic</t>
  </si>
  <si>
    <t>Neo-archean</t>
  </si>
  <si>
    <t>Meso-archean</t>
  </si>
  <si>
    <t>Paleo-archean</t>
  </si>
  <si>
    <t>Eo-archean</t>
  </si>
  <si>
    <t>Pennsylvanian</t>
  </si>
  <si>
    <t>Mississippian</t>
  </si>
  <si>
    <t>Holocene</t>
  </si>
  <si>
    <t>Pleistocene</t>
  </si>
  <si>
    <t>Pliocene</t>
  </si>
  <si>
    <t>Miocene</t>
  </si>
  <si>
    <t>Oligocene</t>
  </si>
  <si>
    <t>Eocene</t>
  </si>
  <si>
    <t>Paleocene</t>
  </si>
  <si>
    <t>Upper Cretaceous</t>
  </si>
  <si>
    <t>Lower Cretaceous</t>
  </si>
  <si>
    <t>Upper Jurassic</t>
  </si>
  <si>
    <t>Middle Jurassic</t>
  </si>
  <si>
    <t>Lower Jurassic</t>
  </si>
  <si>
    <t>Upper Triassic</t>
  </si>
  <si>
    <t>Middle Triassic</t>
  </si>
  <si>
    <t>Lower Triassic</t>
  </si>
  <si>
    <t>Lopingian</t>
  </si>
  <si>
    <t>Guadalupian</t>
  </si>
  <si>
    <t>Cisuralian</t>
  </si>
  <si>
    <t>Upper Pennsylvanian</t>
  </si>
  <si>
    <t>Middle Pennsylvanian</t>
  </si>
  <si>
    <t>Lower Pennsylvanian</t>
  </si>
  <si>
    <t>Upper Mississippian</t>
  </si>
  <si>
    <t>Middle Mississippian</t>
  </si>
  <si>
    <t>Lower Mississippian</t>
  </si>
  <si>
    <t>Upper Devonian</t>
  </si>
  <si>
    <t>Middle Devonian</t>
  </si>
  <si>
    <t>Lower Devonian</t>
  </si>
  <si>
    <t>Pridoli</t>
  </si>
  <si>
    <t>Ludlow</t>
  </si>
  <si>
    <t>Wenlock</t>
  </si>
  <si>
    <t>Llandovery</t>
  </si>
  <si>
    <t>Upper Ordovician</t>
  </si>
  <si>
    <t>Middle Ordovician</t>
  </si>
  <si>
    <t>Lower Ordovician</t>
  </si>
  <si>
    <t>Furongian</t>
  </si>
  <si>
    <t>Miaolingian</t>
  </si>
  <si>
    <t>Cambrian Series 2</t>
  </si>
  <si>
    <t>Terreneuvian</t>
  </si>
  <si>
    <t>Ediacaran</t>
  </si>
  <si>
    <t>Cryogenian</t>
  </si>
  <si>
    <t>Tonian</t>
  </si>
  <si>
    <t>Stenian</t>
  </si>
  <si>
    <t>Ectasian</t>
  </si>
  <si>
    <t>Calymmian</t>
  </si>
  <si>
    <t>Statherian</t>
  </si>
  <si>
    <t>Orosirian</t>
  </si>
  <si>
    <t>Rhyacian</t>
  </si>
  <si>
    <t>Siderian</t>
  </si>
  <si>
    <t>Upper Pleistocene</t>
  </si>
  <si>
    <t>Middle Pleistocene</t>
  </si>
  <si>
    <t>Calabrian</t>
  </si>
  <si>
    <t>Gelasian</t>
  </si>
  <si>
    <t>Piacenzian</t>
  </si>
  <si>
    <t>Zanclean</t>
  </si>
  <si>
    <t>Messinian</t>
  </si>
  <si>
    <t>Tortonian</t>
  </si>
  <si>
    <t>Serravallian</t>
  </si>
  <si>
    <t>Langhian</t>
  </si>
  <si>
    <t>Burdigalian</t>
  </si>
  <si>
    <t>Aquitanian</t>
  </si>
  <si>
    <t>Chattian</t>
  </si>
  <si>
    <t>Rupelian</t>
  </si>
  <si>
    <t>Priabonian</t>
  </si>
  <si>
    <t>Bartonian</t>
  </si>
  <si>
    <t>Lutetian</t>
  </si>
  <si>
    <t>Ypresian</t>
  </si>
  <si>
    <t>Thanetian</t>
  </si>
  <si>
    <t>Selandian</t>
  </si>
  <si>
    <t>Danian</t>
  </si>
  <si>
    <t>Maastrichtian</t>
  </si>
  <si>
    <t>Campanian</t>
  </si>
  <si>
    <t>Santonian</t>
  </si>
  <si>
    <t>Coniacian</t>
  </si>
  <si>
    <t>Turonian</t>
  </si>
  <si>
    <t>Cenomanian</t>
  </si>
  <si>
    <t>Albian</t>
  </si>
  <si>
    <t>Aptian</t>
  </si>
  <si>
    <t>Barremian</t>
  </si>
  <si>
    <t>Hauterivian</t>
  </si>
  <si>
    <t>Valanginian</t>
  </si>
  <si>
    <t>Berriasian</t>
  </si>
  <si>
    <t>Tithonian</t>
  </si>
  <si>
    <t>Kimmeridgian</t>
  </si>
  <si>
    <t>Oxfordian</t>
  </si>
  <si>
    <t>Callovian</t>
  </si>
  <si>
    <t>Bathonian</t>
  </si>
  <si>
    <t>Bajocian</t>
  </si>
  <si>
    <t>Aalenian</t>
  </si>
  <si>
    <t>Toarcian</t>
  </si>
  <si>
    <t>Pliensbachian</t>
  </si>
  <si>
    <t>Sinemurian</t>
  </si>
  <si>
    <t>Hettangian</t>
  </si>
  <si>
    <t>Rhaetian</t>
  </si>
  <si>
    <t>Norian</t>
  </si>
  <si>
    <t>Carnian</t>
  </si>
  <si>
    <t>Ladinian</t>
  </si>
  <si>
    <t>Anisian</t>
  </si>
  <si>
    <t>Olenekian</t>
  </si>
  <si>
    <t>Induan</t>
  </si>
  <si>
    <t>Changhsingian</t>
  </si>
  <si>
    <t>Wuchiapingian</t>
  </si>
  <si>
    <t>Capitanian</t>
  </si>
  <si>
    <t>Wordian</t>
  </si>
  <si>
    <t>Roadian</t>
  </si>
  <si>
    <t>Kungurian</t>
  </si>
  <si>
    <t>Artinskian</t>
  </si>
  <si>
    <t>Sakmarian</t>
  </si>
  <si>
    <t>Asselian</t>
  </si>
  <si>
    <t>Gzhelian</t>
  </si>
  <si>
    <t>Kasimovian</t>
  </si>
  <si>
    <t>Moscovian</t>
  </si>
  <si>
    <t>Bashkirian</t>
  </si>
  <si>
    <t>Serpukhovian</t>
  </si>
  <si>
    <t>Visean</t>
  </si>
  <si>
    <t>Tournaisian</t>
  </si>
  <si>
    <t>Famennian</t>
  </si>
  <si>
    <t>Frasnian</t>
  </si>
  <si>
    <t>Givetian</t>
  </si>
  <si>
    <t>Eifelian</t>
  </si>
  <si>
    <t>Emsian</t>
  </si>
  <si>
    <t>Pragian</t>
  </si>
  <si>
    <t>Lochkovian</t>
  </si>
  <si>
    <t>Ludfordian</t>
  </si>
  <si>
    <t>Gorstian</t>
  </si>
  <si>
    <t>Homerian</t>
  </si>
  <si>
    <t>Sheinwoodian</t>
  </si>
  <si>
    <t>Telychian</t>
  </si>
  <si>
    <t>Aeronian</t>
  </si>
  <si>
    <t>Rhuddanian</t>
  </si>
  <si>
    <t>Hirnantian</t>
  </si>
  <si>
    <t>Katian</t>
  </si>
  <si>
    <t>Sandbian</t>
  </si>
  <si>
    <t>Darriwilian</t>
  </si>
  <si>
    <t>Dapingian</t>
  </si>
  <si>
    <t>Floian</t>
  </si>
  <si>
    <t>Tremadocian</t>
  </si>
  <si>
    <t>Furongian Stage 10</t>
  </si>
  <si>
    <t>Jiangshanian</t>
  </si>
  <si>
    <t>Paibian</t>
  </si>
  <si>
    <t>Guzhangian</t>
  </si>
  <si>
    <t>Drumian</t>
  </si>
  <si>
    <t>Wuliuan</t>
  </si>
  <si>
    <t>Cambrian Series 2 Stage 4</t>
  </si>
  <si>
    <t>Cambrian Series 2 Stage 3</t>
  </si>
  <si>
    <t>Terreneuvian Stage 2</t>
  </si>
  <si>
    <t>Fortunian</t>
  </si>
  <si>
    <t>Meghalayan</t>
  </si>
  <si>
    <t>Northgrippian</t>
  </si>
  <si>
    <t>Greenlandian</t>
  </si>
  <si>
    <t>color (8bit)</t>
  </si>
  <si>
    <t>time scale period</t>
  </si>
  <si>
    <t>Duration</t>
  </si>
  <si>
    <t>Eon</t>
  </si>
  <si>
    <t>Era</t>
  </si>
  <si>
    <t>Period</t>
  </si>
  <si>
    <t>Epoch</t>
  </si>
  <si>
    <t>Age</t>
  </si>
  <si>
    <t>Ma</t>
  </si>
  <si>
    <t>Phanerozoic;Precambrian</t>
  </si>
  <si>
    <t>541;4061.2</t>
  </si>
  <si>
    <t>Cenozoic;Mesozoic;Paleozoic;Proterozoic;Archean;Hadean</t>
  </si>
  <si>
    <t>66;185.902;289.098;1961.2;2100;567.3</t>
  </si>
  <si>
    <t>Quaternary;Neogene;Paleogene;Cretaceous;Jurassic;Triassic;Permian;Carboniferous;Devonian;Silurian;Ordovician;Cambrian;Neo-proterozoic;Meso-proterozoic;Paleo-proterozoic;Neo-archean;Meso-archean;Paleo-archean;Eo-archean;Hadean</t>
  </si>
  <si>
    <t>2.58;20.45;42.97;79;56.4;50.502;46.998;60;60.3;24.6;41.6;55.6;461.2;600;900;300;400;400;400;567.3</t>
  </si>
  <si>
    <t>Holocene;Pleistocene;Pliocene;Miocene;Oligocene;Eocene;Paleocene;Upper Cretaceous;Lower Cretaceous;Upper Jurassic;Middle Jurassic;Lower Jurassic;Upper Triassic;Middle Triassic;Lower Triassic;Lopingian;Guadalupian;Cisuralian;Upper Pennsylvanian;Middle Pennsylvanian;Lower Pennsylvanian;Upper Mississippian;Middle Mississippian;Lower Mississippian;Upper Devonian;Middle Devonian;Lower Devonian;Pridoli;Ludlow;Wenlock;Llandovery;Upper Ordovician;Middle Ordovician;Lower Ordovician;Furongian;Miaolingian;Cambrian Series 2;Terreneuvian;Ediacaran;Cryogenian;Tonian;Stenian;Ectasian;Calymmian;Statherian;Orosirian;Rhyacian;Siderian</t>
  </si>
  <si>
    <t>0.0117;2.5683;2.753;17.697;10.87;22.1;10;34.5;44.5;16.5;13.2;26.7;35.6;10.2;4.702;7.608;13.91;25.89;8.10000000000002;8.19999999999999;8;7.69999999999999;15.8;12.2;23.8;10.6;25.9;3.80000000000001;4.39999999999998;6;10.4;14.6;11.6;15.4;11.6;12;12;20;96.2;85;280;200;200;200;200;250;250;200</t>
  </si>
  <si>
    <t>Meghalayan;Northgrippian;Greenlandian;Upper Pleistocene;Middle Pleistocene;Calabrian;Gelasian;Piacenzian;Zanclean;Messinian;Tortonian;Serravallian;Langhian;Burdigalian;Aquitanian;Chattian;Rupelian;Priabonian;Bartonian;Lutetian;Ypresian;Thanetian;Selandian;Danian;Maastrichtian;Campanian;Santonian;Coniacian;Turonian;Cenomanian;Albian;Aptian;Barremian;Hauterivian;Valanginian;Berriasian;Tithonian;Kimmeridgian;Oxfordian;Callovian;Bathonian;Bajocian;Aalenian;Toarcian;Pliensbachian;Sinemurian;Hettangian;Rhaetian;Norian;Carnian;Ladinian;Anisian;Olenekian;Induan;Changhsingian;Wuchiapingian;Capitanian;Wordian;Roadian;Kungurian;Artinskian;Sakmarian;Asselian;Gzhelian;Kasimovian;Moscovian;Bashkirian;Serpukhovian;Visean;Tournaisian;Famennian;Frasnian;Givetian;Eifelian;Emsian;Pragian;Lochkovian;Ludfordian;Gorstian;Homerian;Sheinwoodian;Telychian;Aeronian;Rhuddanian;Hirnantian;Katian;Sandbian;Darriwilian;Dapingian;Floian;Tremadocian;Furongian Stage 10;Jiangshanian;Paibian;Guzhangian;Drumian;Wuliuan;Cambrian Series 2 Stage 4;Cambrian Series 2 Stage 3;Terreneuvian Stage 2;Fortunian</t>
  </si>
  <si>
    <t>0.0042;0.004;0.0035;0.1173;0.645;1.026;0.78;1.02;1.733;1.913;4.384;2.19;2.15;4.47;2.59;4.79;6.08;3.81;3.49;6.59999999999999;8.2;3.2;2.4;4.4;6.09999999999999;11.5;2.7;3.5;4.10000000000001;6.59999999999999;12.5;8.40000000000001;8;3.19999999999999;7.20000000000002;5.19999999999999;4.19999999999999;5.60000000000002;6.69999999999999;3.80000000000001;2.89999999999998;2.70000000000002;3.79999999999998;10.1;8.70000000000002;6.59999999999999;1.90000000000001;7.09999999999999;18.5;10;5;5.19999999999999;4;0.701999999999998;2.238;5.37;5.17999999999995;2.62;6.11000000000001;10.55;6.60000000000002;3.41999999999996;5.38;4.80000000000001;3.30000000000001;8.19999999999999;8;7.69999999999999;15.8;12.2;13.3;10.5;5;5.60000000000002;14.3;3.19999999999999;8.39999999999998;2.60000000000002;1.79999999999995;3.10000000000002;2.89999999999998;5.10000000000002;2.30000000000001;3;1.39999999999998;7.80000000000001;5.39999999999998;8.90000000000003;2.69999999999999;7.69999999999999;7.69999999999999;4.10000000000002;4.5;3;3.5;4;4.5;5;7;8;9.79999999999995</t>
  </si>
  <si>
    <t>ka</t>
  </si>
  <si>
    <t>MIS (Marine Isotopic Stage)</t>
  </si>
  <si>
    <t>14;15;28;14;59;61;52;57;37;37;50;54;55;30;58;55;36;49;29;24;52;34</t>
  </si>
  <si>
    <t>12.825;1.35;101.025;25.6;94;34.5;48.1;47;33.9;47.3;47.1;65.3;31;60;44.5;73</t>
  </si>
  <si>
    <t>;T I;;T II;;T III;;T IV;;T V;;T VI;;T VII;;T VIII</t>
  </si>
  <si>
    <t>MIS 1;MIS 2;MIS 3;MIS 4;MIS 5;MIS 6;MIS 7;MIS 8;MIS 9;MIS 10;MIS 11;MIS 12;MIS 13;MIS 14;MIS 15;MIS 16;MIS 17;MIS 18;MIS 19;MIS 20;MIS 21;MIS 22</t>
  </si>
  <si>
    <t>Glacial terminations</t>
  </si>
  <si>
    <t>log</t>
  </si>
  <si>
    <t>linear</t>
  </si>
  <si>
    <t>transformation</t>
  </si>
  <si>
    <t>tranformation (statistic) :</t>
  </si>
  <si>
    <t>3_1</t>
  </si>
  <si>
    <t>auto_auto_auto</t>
  </si>
  <si>
    <t>enter data (peak) :</t>
  </si>
  <si>
    <t>resolution KDE &amp; bandwith ponderation :</t>
  </si>
  <si>
    <t>anchor x at 0 (opt) :</t>
  </si>
  <si>
    <t>anchor y at 0 (opt) :</t>
  </si>
  <si>
    <t>x as log (opt) :</t>
  </si>
  <si>
    <t>display norma_grp (Y-simple) :</t>
  </si>
  <si>
    <t>display stacked_grp (XY-stacked) :</t>
  </si>
  <si>
    <t>y as log (opt) :</t>
  </si>
  <si>
    <t>selected values →</t>
  </si>
  <si>
    <t>Grid nom (ternary and binary) :</t>
  </si>
  <si>
    <t>display grid_grp :</t>
  </si>
  <si>
    <t xml:space="preserve">Suprimer graphique before : </t>
  </si>
  <si>
    <t xml:space="preserve">Error as elipse : </t>
  </si>
  <si>
    <t>SiO2</t>
  </si>
  <si>
    <t>Al2O3</t>
  </si>
  <si>
    <t>FeO*</t>
  </si>
  <si>
    <t>MnO</t>
  </si>
  <si>
    <t>MgO</t>
  </si>
  <si>
    <t>CaO</t>
  </si>
  <si>
    <t>Na2O</t>
  </si>
  <si>
    <t>K2O</t>
  </si>
  <si>
    <t>P2O5</t>
  </si>
  <si>
    <t>Total</t>
  </si>
  <si>
    <t>[wt %]</t>
  </si>
  <si>
    <t>Mg#</t>
  </si>
  <si>
    <t>Ge</t>
  </si>
  <si>
    <t>As</t>
  </si>
  <si>
    <t>Se</t>
  </si>
  <si>
    <t>Br</t>
  </si>
  <si>
    <t>Ru</t>
  </si>
  <si>
    <t>Pd</t>
  </si>
  <si>
    <t>Ag</t>
  </si>
  <si>
    <t>Cd</t>
  </si>
  <si>
    <t>In</t>
  </si>
  <si>
    <t>I</t>
  </si>
  <si>
    <t>Re</t>
  </si>
  <si>
    <t>Os</t>
  </si>
  <si>
    <t>Ir</t>
  </si>
  <si>
    <t>Pt</t>
  </si>
  <si>
    <t>Au</t>
  </si>
  <si>
    <t>Hg</t>
  </si>
  <si>
    <t>Bi</t>
  </si>
  <si>
    <t>B</t>
  </si>
  <si>
    <t>N</t>
  </si>
  <si>
    <t>F</t>
  </si>
  <si>
    <t>S</t>
  </si>
  <si>
    <t>Cl</t>
  </si>
  <si>
    <t>Upper Crust</t>
  </si>
  <si>
    <t>Rudnik &amp; Gao (2003)</t>
  </si>
  <si>
    <t>Middle Crust</t>
  </si>
  <si>
    <t>Rudnick &amp; Gao (2003)</t>
  </si>
  <si>
    <t>Lower Crust</t>
  </si>
  <si>
    <t>Rudnick &amp; Fountain (1995)</t>
  </si>
  <si>
    <t>Bulk Crust</t>
  </si>
  <si>
    <t>Rudnick &amp; Gao (2014)</t>
  </si>
  <si>
    <t xml:space="preserve">Cl </t>
  </si>
  <si>
    <t xml:space="preserve">P mantle </t>
  </si>
  <si>
    <t xml:space="preserve">Pyrolite </t>
  </si>
  <si>
    <t xml:space="preserve">Earth's mantle </t>
  </si>
  <si>
    <t xml:space="preserve">D-MORB </t>
  </si>
  <si>
    <t xml:space="preserve">All MORB </t>
  </si>
  <si>
    <t xml:space="preserve">OIB </t>
  </si>
  <si>
    <t xml:space="preserve">Boninite </t>
  </si>
  <si>
    <t xml:space="preserve">Arc-Tholeiite </t>
  </si>
  <si>
    <t xml:space="preserve">Andean Dacite </t>
  </si>
  <si>
    <t xml:space="preserve">Continental Crust </t>
  </si>
  <si>
    <t>Sun &amp; McDonough (1989)</t>
  </si>
  <si>
    <t>McDonough &amp; Sun (1995)</t>
  </si>
  <si>
    <t>Palme &amp; O'Neill (2014)</t>
  </si>
  <si>
    <t>Workman &amp; Hart (2005)</t>
  </si>
  <si>
    <t>Gale et al. (2013)</t>
  </si>
  <si>
    <t>Stern (2001)</t>
  </si>
  <si>
    <t>Depleted MORB mantle</t>
  </si>
  <si>
    <t>Enriched MORB mantle</t>
  </si>
  <si>
    <t>MORB mantle</t>
  </si>
  <si>
    <t>Global subducting sediment</t>
  </si>
  <si>
    <t>CI chondrite  (1989)</t>
  </si>
  <si>
    <t>CI chondrite (1995)</t>
  </si>
  <si>
    <t>N-MORB (1989)</t>
  </si>
  <si>
    <t>N-MORB (2013)</t>
  </si>
  <si>
    <t>N-MORB (2001)</t>
  </si>
  <si>
    <t>E-MORB (1989)</t>
  </si>
  <si>
    <t>E-MORB (2013)</t>
  </si>
  <si>
    <t>BABB (2013)</t>
  </si>
  <si>
    <t>BABB (2001)</t>
  </si>
  <si>
    <t>Barrat et al. (2012)</t>
  </si>
  <si>
    <t>C1 chondrite (2012)</t>
  </si>
  <si>
    <t>Nom</t>
  </si>
  <si>
    <t>Fabien Humbert compilation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</si>
</sst>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7"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
      <u/>
      <sz val="11"/>
      <color theme="1"/>
      <name val="Calibri"/>
      <family val="2"/>
      <scheme val="minor"/>
    </font>
    <font>
      <i/>
      <sz val="11"/>
      <color theme="1"/>
      <name val="Aptos Narrow"/>
      <family val="2"/>
    </font>
  </fonts>
  <fills count="196">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4B4B4B"/>
        <bgColor indexed="64"/>
      </patternFill>
    </fill>
    <fill>
      <patternFill patternType="solid">
        <fgColor rgb="FFAFAFAF"/>
        <bgColor indexed="64"/>
      </patternFill>
    </fill>
    <fill>
      <patternFill patternType="solid">
        <fgColor rgb="FF0033CC"/>
        <bgColor indexed="64"/>
      </patternFill>
    </fill>
    <fill>
      <patternFill patternType="solid">
        <fgColor rgb="FFFFFF00"/>
        <bgColor indexed="64"/>
      </patternFill>
    </fill>
    <fill>
      <patternFill patternType="solid">
        <fgColor rgb="FF339933"/>
        <bgColor indexed="64"/>
      </patternFill>
    </fill>
    <fill>
      <patternFill patternType="solid">
        <fgColor rgb="FFCC0000"/>
        <bgColor indexed="64"/>
      </patternFill>
    </fill>
    <fill>
      <patternFill patternType="solid">
        <fgColor rgb="FF9AD9DD"/>
        <bgColor indexed="64"/>
      </patternFill>
    </fill>
    <fill>
      <patternFill patternType="solid">
        <fgColor rgb="FFF74370"/>
        <bgColor indexed="64"/>
      </patternFill>
    </fill>
    <fill>
      <patternFill patternType="solid">
        <fgColor rgb="FFF2F91D"/>
        <bgColor indexed="64"/>
      </patternFill>
    </fill>
    <fill>
      <patternFill patternType="solid">
        <fgColor rgb="FF67C5CA"/>
        <bgColor indexed="64"/>
      </patternFill>
    </fill>
    <fill>
      <patternFill patternType="solid">
        <fgColor rgb="FF99C08D"/>
        <bgColor indexed="64"/>
      </patternFill>
    </fill>
    <fill>
      <patternFill patternType="solid">
        <fgColor rgb="FFF73563"/>
        <bgColor indexed="64"/>
      </patternFill>
    </fill>
    <fill>
      <patternFill patternType="solid">
        <fgColor rgb="FFF0047F"/>
        <bgColor indexed="64"/>
      </patternFill>
    </fill>
    <fill>
      <patternFill patternType="solid">
        <fgColor rgb="FFAE027E"/>
        <bgColor indexed="64"/>
      </patternFill>
    </fill>
    <fill>
      <patternFill patternType="solid">
        <fgColor rgb="FFF9F97F"/>
        <bgColor indexed="64"/>
      </patternFill>
    </fill>
    <fill>
      <patternFill patternType="solid">
        <fgColor rgb="FFFFE619"/>
        <bgColor indexed="64"/>
      </patternFill>
    </fill>
    <fill>
      <patternFill patternType="solid">
        <fgColor rgb="FFFD9A52"/>
        <bgColor indexed="64"/>
      </patternFill>
    </fill>
    <fill>
      <patternFill patternType="solid">
        <fgColor rgb="FF7FC64E"/>
        <bgColor indexed="64"/>
      </patternFill>
    </fill>
    <fill>
      <patternFill patternType="solid">
        <fgColor rgb="FF34B2C9"/>
        <bgColor indexed="64"/>
      </patternFill>
    </fill>
    <fill>
      <patternFill patternType="solid">
        <fgColor rgb="FF812B92"/>
        <bgColor indexed="64"/>
      </patternFill>
    </fill>
    <fill>
      <patternFill patternType="solid">
        <fgColor rgb="FFF04028"/>
        <bgColor indexed="64"/>
      </patternFill>
    </fill>
    <fill>
      <patternFill patternType="solid">
        <fgColor rgb="FF67A599"/>
        <bgColor indexed="64"/>
      </patternFill>
    </fill>
    <fill>
      <patternFill patternType="solid">
        <fgColor rgb="FFCB8C37"/>
        <bgColor indexed="64"/>
      </patternFill>
    </fill>
    <fill>
      <patternFill patternType="solid">
        <fgColor rgb="FFB3E1B6"/>
        <bgColor indexed="64"/>
      </patternFill>
    </fill>
    <fill>
      <patternFill patternType="solid">
        <fgColor rgb="FF009270"/>
        <bgColor indexed="64"/>
      </patternFill>
    </fill>
    <fill>
      <patternFill patternType="solid">
        <fgColor rgb="FF7FA056"/>
        <bgColor indexed="64"/>
      </patternFill>
    </fill>
    <fill>
      <patternFill patternType="solid">
        <fgColor rgb="FFFEB342"/>
        <bgColor indexed="64"/>
      </patternFill>
    </fill>
    <fill>
      <patternFill patternType="solid">
        <fgColor rgb="FFFDB462"/>
        <bgColor indexed="64"/>
      </patternFill>
    </fill>
    <fill>
      <patternFill patternType="solid">
        <fgColor rgb="FFF99BC1"/>
        <bgColor indexed="64"/>
      </patternFill>
    </fill>
    <fill>
      <patternFill patternType="solid">
        <fgColor rgb="FFF768A9"/>
        <bgColor indexed="64"/>
      </patternFill>
    </fill>
    <fill>
      <patternFill patternType="solid">
        <fgColor rgb="FFF4449F"/>
        <bgColor indexed="64"/>
      </patternFill>
    </fill>
    <fill>
      <patternFill patternType="solid">
        <fgColor rgb="FFDA037F"/>
        <bgColor indexed="64"/>
      </patternFill>
    </fill>
    <fill>
      <patternFill patternType="solid">
        <fgColor rgb="FF99C2B5"/>
        <bgColor indexed="64"/>
      </patternFill>
    </fill>
    <fill>
      <patternFill patternType="solid">
        <fgColor rgb="FF678F66"/>
        <bgColor indexed="64"/>
      </patternFill>
    </fill>
    <fill>
      <patternFill patternType="solid">
        <fgColor rgb="FFFEF2EC"/>
        <bgColor indexed="64"/>
      </patternFill>
    </fill>
    <fill>
      <patternFill patternType="solid">
        <fgColor rgb="FFFFF2AE"/>
        <bgColor indexed="64"/>
      </patternFill>
    </fill>
    <fill>
      <patternFill patternType="solid">
        <fgColor rgb="FFFFFF99"/>
        <bgColor indexed="64"/>
      </patternFill>
    </fill>
    <fill>
      <patternFill patternType="solid">
        <fgColor rgb="FFFDC07A"/>
        <bgColor indexed="64"/>
      </patternFill>
    </fill>
    <fill>
      <patternFill patternType="solid">
        <fgColor rgb="FFFDB46C"/>
        <bgColor indexed="64"/>
      </patternFill>
    </fill>
    <fill>
      <patternFill patternType="solid">
        <fgColor rgb="FFFDA75F"/>
        <bgColor indexed="64"/>
      </patternFill>
    </fill>
    <fill>
      <patternFill patternType="solid">
        <fgColor rgb="FFA6D84A"/>
        <bgColor indexed="64"/>
      </patternFill>
    </fill>
    <fill>
      <patternFill patternType="solid">
        <fgColor rgb="FF8CCD57"/>
        <bgColor indexed="64"/>
      </patternFill>
    </fill>
    <fill>
      <patternFill patternType="solid">
        <fgColor rgb="FFB3E3EE"/>
        <bgColor indexed="64"/>
      </patternFill>
    </fill>
    <fill>
      <patternFill patternType="solid">
        <fgColor rgb="FF80CFD8"/>
        <bgColor indexed="64"/>
      </patternFill>
    </fill>
    <fill>
      <patternFill patternType="solid">
        <fgColor rgb="FF42AED0"/>
        <bgColor indexed="64"/>
      </patternFill>
    </fill>
    <fill>
      <patternFill patternType="solid">
        <fgColor rgb="FFBD8CC3"/>
        <bgColor indexed="64"/>
      </patternFill>
    </fill>
    <fill>
      <patternFill patternType="solid">
        <fgColor rgb="FFB168B1"/>
        <bgColor indexed="64"/>
      </patternFill>
    </fill>
    <fill>
      <patternFill patternType="solid">
        <fgColor rgb="FF983999"/>
        <bgColor indexed="64"/>
      </patternFill>
    </fill>
    <fill>
      <patternFill patternType="solid">
        <fgColor rgb="FFFBA794"/>
        <bgColor indexed="64"/>
      </patternFill>
    </fill>
    <fill>
      <patternFill patternType="solid">
        <fgColor rgb="FFFB745C"/>
        <bgColor indexed="64"/>
      </patternFill>
    </fill>
    <fill>
      <patternFill patternType="solid">
        <fgColor rgb="FFEF5845"/>
        <bgColor indexed="64"/>
      </patternFill>
    </fill>
    <fill>
      <patternFill patternType="solid">
        <fgColor rgb="FFBFD0BA"/>
        <bgColor indexed="64"/>
      </patternFill>
    </fill>
    <fill>
      <patternFill patternType="solid">
        <fgColor rgb="FFA6C7B7"/>
        <bgColor indexed="64"/>
      </patternFill>
    </fill>
    <fill>
      <patternFill patternType="solid">
        <fgColor rgb="FF8CBEB4"/>
        <bgColor indexed="64"/>
      </patternFill>
    </fill>
    <fill>
      <patternFill patternType="solid">
        <fgColor rgb="FFB3BE6C"/>
        <bgColor indexed="64"/>
      </patternFill>
    </fill>
    <fill>
      <patternFill patternType="solid">
        <fgColor rgb="FF99B46C"/>
        <bgColor indexed="64"/>
      </patternFill>
    </fill>
    <fill>
      <patternFill patternType="solid">
        <fgColor rgb="FF80AB6C"/>
        <bgColor indexed="64"/>
      </patternFill>
    </fill>
    <fill>
      <patternFill patternType="solid">
        <fgColor rgb="FFF1E19D"/>
        <bgColor indexed="64"/>
      </patternFill>
    </fill>
    <fill>
      <patternFill patternType="solid">
        <fgColor rgb="FFF1C868"/>
        <bgColor indexed="64"/>
      </patternFill>
    </fill>
    <fill>
      <patternFill patternType="solid">
        <fgColor rgb="FFE5AC4D"/>
        <bgColor indexed="64"/>
      </patternFill>
    </fill>
    <fill>
      <patternFill patternType="solid">
        <fgColor rgb="FFE6F5E1"/>
        <bgColor indexed="64"/>
      </patternFill>
    </fill>
    <fill>
      <patternFill patternType="solid">
        <fgColor rgb="FFBFE6CF"/>
        <bgColor indexed="64"/>
      </patternFill>
    </fill>
    <fill>
      <patternFill patternType="solid">
        <fgColor rgb="FFB3E1C2"/>
        <bgColor indexed="64"/>
      </patternFill>
    </fill>
    <fill>
      <patternFill patternType="solid">
        <fgColor rgb="FF99D7B3"/>
        <bgColor indexed="64"/>
      </patternFill>
    </fill>
    <fill>
      <patternFill patternType="solid">
        <fgColor rgb="FF7FCA93"/>
        <bgColor indexed="64"/>
      </patternFill>
    </fill>
    <fill>
      <patternFill patternType="solid">
        <fgColor rgb="FF4DB47E"/>
        <bgColor indexed="64"/>
      </patternFill>
    </fill>
    <fill>
      <patternFill patternType="solid">
        <fgColor rgb="FF1A9D6F"/>
        <bgColor indexed="64"/>
      </patternFill>
    </fill>
    <fill>
      <patternFill patternType="solid">
        <fgColor rgb="FFB3E095"/>
        <bgColor indexed="64"/>
      </patternFill>
    </fill>
    <fill>
      <patternFill patternType="solid">
        <fgColor rgb="FFA6CF86"/>
        <bgColor indexed="64"/>
      </patternFill>
    </fill>
    <fill>
      <patternFill patternType="solid">
        <fgColor rgb="FF99C078"/>
        <bgColor indexed="64"/>
      </patternFill>
    </fill>
    <fill>
      <patternFill patternType="solid">
        <fgColor rgb="FF8CB06C"/>
        <bgColor indexed="64"/>
      </patternFill>
    </fill>
    <fill>
      <patternFill patternType="solid">
        <fgColor rgb="FFFED96A"/>
        <bgColor indexed="64"/>
      </patternFill>
    </fill>
    <fill>
      <patternFill patternType="solid">
        <fgColor rgb="FFFECC5C"/>
        <bgColor indexed="64"/>
      </patternFill>
    </fill>
    <fill>
      <patternFill patternType="solid">
        <fgColor rgb="FFFEBF4E"/>
        <bgColor indexed="64"/>
      </patternFill>
    </fill>
    <fill>
      <patternFill patternType="solid">
        <fgColor rgb="FFFED99A"/>
        <bgColor indexed="64"/>
      </patternFill>
    </fill>
    <fill>
      <patternFill patternType="solid">
        <fgColor rgb="FFFDCC8A"/>
        <bgColor indexed="64"/>
      </patternFill>
    </fill>
    <fill>
      <patternFill patternType="solid">
        <fgColor rgb="FFF875A7"/>
        <bgColor indexed="64"/>
      </patternFill>
    </fill>
    <fill>
      <patternFill patternType="solid">
        <fgColor rgb="FFF76898"/>
        <bgColor indexed="64"/>
      </patternFill>
    </fill>
    <fill>
      <patternFill patternType="solid">
        <fgColor rgb="FFF75B89"/>
        <bgColor indexed="64"/>
      </patternFill>
    </fill>
    <fill>
      <patternFill patternType="solid">
        <fgColor rgb="FFF74F7C"/>
        <bgColor indexed="64"/>
      </patternFill>
    </fill>
    <fill>
      <patternFill patternType="solid">
        <fgColor rgb="FFFFF2D3"/>
        <bgColor indexed="64"/>
      </patternFill>
    </fill>
    <fill>
      <patternFill patternType="solid">
        <fgColor rgb="FFFFF2C7"/>
        <bgColor indexed="64"/>
      </patternFill>
    </fill>
    <fill>
      <patternFill patternType="solid">
        <fgColor rgb="FFFFF2BA"/>
        <bgColor indexed="64"/>
      </patternFill>
    </fill>
    <fill>
      <patternFill patternType="solid">
        <fgColor rgb="FFFFEDB3"/>
        <bgColor indexed="64"/>
      </patternFill>
    </fill>
    <fill>
      <patternFill patternType="solid">
        <fgColor rgb="FFFFFFBF"/>
        <bgColor indexed="64"/>
      </patternFill>
    </fill>
    <fill>
      <patternFill patternType="solid">
        <fgColor rgb="FFFFFFB3"/>
        <bgColor indexed="64"/>
      </patternFill>
    </fill>
    <fill>
      <patternFill patternType="solid">
        <fgColor rgb="FFFFFF73"/>
        <bgColor indexed="64"/>
      </patternFill>
    </fill>
    <fill>
      <patternFill patternType="solid">
        <fgColor rgb="FFFFFF66"/>
        <bgColor indexed="64"/>
      </patternFill>
    </fill>
    <fill>
      <patternFill patternType="solid">
        <fgColor rgb="FFFFFF59"/>
        <bgColor indexed="64"/>
      </patternFill>
    </fill>
    <fill>
      <patternFill patternType="solid">
        <fgColor rgb="FFFFFF4D"/>
        <bgColor indexed="64"/>
      </patternFill>
    </fill>
    <fill>
      <patternFill patternType="solid">
        <fgColor rgb="FFFFFF41"/>
        <bgColor indexed="64"/>
      </patternFill>
    </fill>
    <fill>
      <patternFill patternType="solid">
        <fgColor rgb="FFFFFF33"/>
        <bgColor indexed="64"/>
      </patternFill>
    </fill>
    <fill>
      <patternFill patternType="solid">
        <fgColor rgb="FFFEE6AA"/>
        <bgColor indexed="64"/>
      </patternFill>
    </fill>
    <fill>
      <patternFill patternType="solid">
        <fgColor rgb="FFFDCDA1"/>
        <bgColor indexed="64"/>
      </patternFill>
    </fill>
    <fill>
      <patternFill patternType="solid">
        <fgColor rgb="FFFDC091"/>
        <bgColor indexed="64"/>
      </patternFill>
    </fill>
    <fill>
      <patternFill patternType="solid">
        <fgColor rgb="FFFCB482"/>
        <bgColor indexed="64"/>
      </patternFill>
    </fill>
    <fill>
      <patternFill patternType="solid">
        <fgColor rgb="FFFCA773"/>
        <bgColor indexed="64"/>
      </patternFill>
    </fill>
    <fill>
      <patternFill patternType="solid">
        <fgColor rgb="FFFDBF6F"/>
        <bgColor indexed="64"/>
      </patternFill>
    </fill>
    <fill>
      <patternFill patternType="solid">
        <fgColor rgb="FFFEBF65"/>
        <bgColor indexed="64"/>
      </patternFill>
    </fill>
    <fill>
      <patternFill patternType="solid">
        <fgColor rgb="FFF2FA8C"/>
        <bgColor indexed="64"/>
      </patternFill>
    </fill>
    <fill>
      <patternFill patternType="solid">
        <fgColor rgb="FFE6F47F"/>
        <bgColor indexed="64"/>
      </patternFill>
    </fill>
    <fill>
      <patternFill patternType="solid">
        <fgColor rgb="FFD9EF74"/>
        <bgColor indexed="64"/>
      </patternFill>
    </fill>
    <fill>
      <patternFill patternType="solid">
        <fgColor rgb="FFCCE968"/>
        <bgColor indexed="64"/>
      </patternFill>
    </fill>
    <fill>
      <patternFill patternType="solid">
        <fgColor rgb="FFBFE35D"/>
        <bgColor indexed="64"/>
      </patternFill>
    </fill>
    <fill>
      <patternFill patternType="solid">
        <fgColor rgb="FFB3DE53"/>
        <bgColor indexed="64"/>
      </patternFill>
    </fill>
    <fill>
      <patternFill patternType="solid">
        <fgColor rgb="FFCCEA97"/>
        <bgColor indexed="64"/>
      </patternFill>
    </fill>
    <fill>
      <patternFill patternType="solid">
        <fgColor rgb="FFBFE48A"/>
        <bgColor indexed="64"/>
      </patternFill>
    </fill>
    <fill>
      <patternFill patternType="solid">
        <fgColor rgb="FFB3DF7F"/>
        <bgColor indexed="64"/>
      </patternFill>
    </fill>
    <fill>
      <patternFill patternType="solid">
        <fgColor rgb="FFA6D975"/>
        <bgColor indexed="64"/>
      </patternFill>
    </fill>
    <fill>
      <patternFill patternType="solid">
        <fgColor rgb="FF99D36A"/>
        <bgColor indexed="64"/>
      </patternFill>
    </fill>
    <fill>
      <patternFill patternType="solid">
        <fgColor rgb="FF8CCD60"/>
        <bgColor indexed="64"/>
      </patternFill>
    </fill>
    <fill>
      <patternFill patternType="solid">
        <fgColor rgb="FFD9F1F7"/>
        <bgColor indexed="64"/>
      </patternFill>
    </fill>
    <fill>
      <patternFill patternType="solid">
        <fgColor rgb="FFCCECF4"/>
        <bgColor indexed="64"/>
      </patternFill>
    </fill>
    <fill>
      <patternFill patternType="solid">
        <fgColor rgb="FFBFE7F1"/>
        <bgColor indexed="64"/>
      </patternFill>
    </fill>
    <fill>
      <patternFill patternType="solid">
        <fgColor rgb="FFBFE7E5"/>
        <bgColor indexed="64"/>
      </patternFill>
    </fill>
    <fill>
      <patternFill patternType="solid">
        <fgColor rgb="FFB3E2E3"/>
        <bgColor indexed="64"/>
      </patternFill>
    </fill>
    <fill>
      <patternFill patternType="solid">
        <fgColor rgb="FFA6DDE0"/>
        <bgColor indexed="64"/>
      </patternFill>
    </fill>
    <fill>
      <patternFill patternType="solid">
        <fgColor rgb="FF99CEE3"/>
        <bgColor indexed="64"/>
      </patternFill>
    </fill>
    <fill>
      <patternFill patternType="solid">
        <fgColor rgb="FF80C5DD"/>
        <bgColor indexed="64"/>
      </patternFill>
    </fill>
    <fill>
      <patternFill patternType="solid">
        <fgColor rgb="FF67BCD8"/>
        <bgColor indexed="64"/>
      </patternFill>
    </fill>
    <fill>
      <patternFill patternType="solid">
        <fgColor rgb="FF4EB3D3"/>
        <bgColor indexed="64"/>
      </patternFill>
    </fill>
    <fill>
      <patternFill patternType="solid">
        <fgColor rgb="FFE3B9DB"/>
        <bgColor indexed="64"/>
      </patternFill>
    </fill>
    <fill>
      <patternFill patternType="solid">
        <fgColor rgb="FFD6AAD3"/>
        <bgColor indexed="64"/>
      </patternFill>
    </fill>
    <fill>
      <patternFill patternType="solid">
        <fgColor rgb="FFC99BCB"/>
        <bgColor indexed="64"/>
      </patternFill>
    </fill>
    <fill>
      <patternFill patternType="solid">
        <fgColor rgb="FFC983BF"/>
        <bgColor indexed="64"/>
      </patternFill>
    </fill>
    <fill>
      <patternFill patternType="solid">
        <fgColor rgb="FFBC75B7"/>
        <bgColor indexed="64"/>
      </patternFill>
    </fill>
    <fill>
      <patternFill patternType="solid">
        <fgColor rgb="FFB051A5"/>
        <bgColor indexed="64"/>
      </patternFill>
    </fill>
    <fill>
      <patternFill patternType="solid">
        <fgColor rgb="FFA4469F"/>
        <bgColor indexed="64"/>
      </patternFill>
    </fill>
    <fill>
      <patternFill patternType="solid">
        <fgColor rgb="FFFCC0B2"/>
        <bgColor indexed="64"/>
      </patternFill>
    </fill>
    <fill>
      <patternFill patternType="solid">
        <fgColor rgb="FFFCB4A2"/>
        <bgColor indexed="64"/>
      </patternFill>
    </fill>
    <fill>
      <patternFill patternType="solid">
        <fgColor rgb="FFFB9A85"/>
        <bgColor indexed="64"/>
      </patternFill>
    </fill>
    <fill>
      <patternFill patternType="solid">
        <fgColor rgb="FFFB8D76"/>
        <bgColor indexed="64"/>
      </patternFill>
    </fill>
    <fill>
      <patternFill patternType="solid">
        <fgColor rgb="FFFB8069"/>
        <bgColor indexed="64"/>
      </patternFill>
    </fill>
    <fill>
      <patternFill patternType="solid">
        <fgColor rgb="FFE38776"/>
        <bgColor indexed="64"/>
      </patternFill>
    </fill>
    <fill>
      <patternFill patternType="solid">
        <fgColor rgb="FFE37B68"/>
        <bgColor indexed="64"/>
      </patternFill>
    </fill>
    <fill>
      <patternFill patternType="solid">
        <fgColor rgb="FFE36F5C"/>
        <bgColor indexed="64"/>
      </patternFill>
    </fill>
    <fill>
      <patternFill patternType="solid">
        <fgColor rgb="FFE36350"/>
        <bgColor indexed="64"/>
      </patternFill>
    </fill>
    <fill>
      <patternFill patternType="solid">
        <fgColor rgb="FFCCD4C7"/>
        <bgColor indexed="64"/>
      </patternFill>
    </fill>
    <fill>
      <patternFill patternType="solid">
        <fgColor rgb="FFBFD0C5"/>
        <bgColor indexed="64"/>
      </patternFill>
    </fill>
    <fill>
      <patternFill patternType="solid">
        <fgColor rgb="FFB3CBB9"/>
        <bgColor indexed="64"/>
      </patternFill>
    </fill>
    <fill>
      <patternFill patternType="solid">
        <fgColor rgb="FFBFC26B"/>
        <bgColor indexed="64"/>
      </patternFill>
    </fill>
    <fill>
      <patternFill patternType="solid">
        <fgColor rgb="FFA6B96C"/>
        <bgColor indexed="64"/>
      </patternFill>
    </fill>
    <fill>
      <patternFill patternType="solid">
        <fgColor rgb="FFF2EDC5"/>
        <bgColor indexed="64"/>
      </patternFill>
    </fill>
    <fill>
      <patternFill patternType="solid">
        <fgColor rgb="FFF2EDAD"/>
        <bgColor indexed="64"/>
      </patternFill>
    </fill>
    <fill>
      <patternFill patternType="solid">
        <fgColor rgb="FFF1E185"/>
        <bgColor indexed="64"/>
      </patternFill>
    </fill>
    <fill>
      <patternFill patternType="solid">
        <fgColor rgb="FFF1D576"/>
        <bgColor indexed="64"/>
      </patternFill>
    </fill>
    <fill>
      <patternFill patternType="solid">
        <fgColor rgb="FFE5D075"/>
        <bgColor indexed="64"/>
      </patternFill>
    </fill>
    <fill>
      <patternFill patternType="solid">
        <fgColor rgb="FFE5C468"/>
        <bgColor indexed="64"/>
      </patternFill>
    </fill>
    <fill>
      <patternFill patternType="solid">
        <fgColor rgb="FFE5B75A"/>
        <bgColor indexed="64"/>
      </patternFill>
    </fill>
    <fill>
      <patternFill patternType="solid">
        <fgColor rgb="FFD9F0DF"/>
        <bgColor indexed="64"/>
      </patternFill>
    </fill>
    <fill>
      <patternFill patternType="solid">
        <fgColor rgb="FFCCECDD"/>
        <bgColor indexed="64"/>
      </patternFill>
    </fill>
    <fill>
      <patternFill patternType="solid">
        <fgColor rgb="FFCCEBD1"/>
        <bgColor indexed="64"/>
      </patternFill>
    </fill>
    <fill>
      <patternFill patternType="solid">
        <fgColor rgb="FFBFE6C3"/>
        <bgColor indexed="64"/>
      </patternFill>
    </fill>
    <fill>
      <patternFill patternType="solid">
        <fgColor rgb="FFA6DCB5"/>
        <bgColor indexed="64"/>
      </patternFill>
    </fill>
    <fill>
      <patternFill patternType="solid">
        <fgColor rgb="FFA6DBAB"/>
        <bgColor indexed="64"/>
      </patternFill>
    </fill>
    <fill>
      <patternFill patternType="solid">
        <fgColor rgb="FF99D69F"/>
        <bgColor indexed="64"/>
      </patternFill>
    </fill>
    <fill>
      <patternFill patternType="solid">
        <fgColor rgb="FF8CD094"/>
        <bgColor indexed="64"/>
      </patternFill>
    </fill>
    <fill>
      <patternFill patternType="solid">
        <fgColor rgb="FF74C69C"/>
        <bgColor indexed="64"/>
      </patternFill>
    </fill>
    <fill>
      <patternFill patternType="solid">
        <fgColor rgb="FF66C092"/>
        <bgColor indexed="64"/>
      </patternFill>
    </fill>
    <fill>
      <patternFill patternType="solid">
        <fgColor rgb="FF41B087"/>
        <bgColor indexed="64"/>
      </patternFill>
    </fill>
    <fill>
      <patternFill patternType="solid">
        <fgColor rgb="FF33A97E"/>
        <bgColor indexed="64"/>
      </patternFill>
    </fill>
    <fill>
      <patternFill patternType="solid">
        <fgColor rgb="FFE6F5C9"/>
        <bgColor indexed="64"/>
      </patternFill>
    </fill>
    <fill>
      <patternFill patternType="solid">
        <fgColor rgb="FFD9F0BB"/>
        <bgColor indexed="64"/>
      </patternFill>
    </fill>
    <fill>
      <patternFill patternType="solid">
        <fgColor rgb="FFCCEBAE"/>
        <bgColor indexed="64"/>
      </patternFill>
    </fill>
    <fill>
      <patternFill patternType="solid">
        <fgColor rgb="FFCCDFAA"/>
        <bgColor indexed="64"/>
      </patternFill>
    </fill>
    <fill>
      <patternFill patternType="solid">
        <fgColor rgb="FFBFD99D"/>
        <bgColor indexed="64"/>
      </patternFill>
    </fill>
    <fill>
      <patternFill patternType="solid">
        <fgColor rgb="FFB3D492"/>
        <bgColor indexed="64"/>
      </patternFill>
    </fill>
    <fill>
      <patternFill patternType="solid">
        <fgColor rgb="FFB3CA8E"/>
        <bgColor indexed="64"/>
      </patternFill>
    </fill>
    <fill>
      <patternFill patternType="solid">
        <fgColor rgb="FFA6C583"/>
        <bgColor indexed="64"/>
      </patternFill>
    </fill>
    <fill>
      <patternFill patternType="solid">
        <fgColor rgb="FFA6BA80"/>
        <bgColor indexed="64"/>
      </patternFill>
    </fill>
    <fill>
      <patternFill patternType="solid">
        <fgColor rgb="FF99B57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0" tint="-0.14999847407452621"/>
        <bgColor indexed="64"/>
      </patternFill>
    </fill>
  </fills>
  <borders count="42">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s>
  <cellStyleXfs count="6">
    <xf numFmtId="0" fontId="0" fillId="0" borderId="0"/>
    <xf numFmtId="0" fontId="1" fillId="0" borderId="0"/>
    <xf numFmtId="0" fontId="2" fillId="0" borderId="0"/>
    <xf numFmtId="0" fontId="3" fillId="0" borderId="0"/>
    <xf numFmtId="0" fontId="5" fillId="7" borderId="0" applyNumberFormat="0" applyBorder="0" applyAlignment="0" applyProtection="0"/>
    <xf numFmtId="0" fontId="1" fillId="0" borderId="0"/>
  </cellStyleXfs>
  <cellXfs count="337">
    <xf numFmtId="0" fontId="0" fillId="0" borderId="0" xfId="0"/>
    <xf numFmtId="0" fontId="6" fillId="0" borderId="0" xfId="0" applyFont="1" applyAlignment="1">
      <alignment horizontal="center" vertical="center"/>
    </xf>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3"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8" borderId="0" xfId="0" applyFont="1" applyFill="1" applyAlignment="1">
      <alignment horizontal="left" vertical="center" wrapText="1"/>
    </xf>
    <xf numFmtId="0" fontId="9" fillId="0" borderId="0" xfId="0" applyFont="1" applyAlignment="1">
      <alignment horizontal="center" vertical="center"/>
    </xf>
    <xf numFmtId="0" fontId="0" fillId="14" borderId="0" xfId="0" applyFill="1"/>
    <xf numFmtId="0" fontId="9" fillId="15" borderId="0" xfId="0" applyFont="1" applyFill="1" applyAlignment="1">
      <alignment horizontal="center" vertical="center"/>
    </xf>
    <xf numFmtId="0" fontId="6" fillId="3" borderId="0" xfId="0" applyFont="1" applyFill="1" applyAlignment="1">
      <alignment horizontal="right" vertical="center"/>
    </xf>
    <xf numFmtId="0" fontId="6" fillId="3" borderId="0" xfId="0" applyFont="1" applyFill="1" applyAlignment="1">
      <alignment horizontal="left" vertical="center"/>
    </xf>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9" fillId="15" borderId="5" xfId="0" applyFont="1" applyFill="1" applyBorder="1" applyAlignment="1">
      <alignment horizontal="center" vertical="center"/>
    </xf>
    <xf numFmtId="0" fontId="11" fillId="15"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5"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6"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16" borderId="15" xfId="0" applyFill="1" applyBorder="1" applyAlignment="1">
      <alignment horizontal="center" vertical="center"/>
    </xf>
    <xf numFmtId="0" fontId="0" fillId="16" borderId="14" xfId="0" applyFill="1" applyBorder="1" applyAlignment="1">
      <alignment horizontal="center" vertical="center"/>
    </xf>
    <xf numFmtId="0" fontId="0" fillId="16" borderId="16" xfId="0" applyFill="1" applyBorder="1" applyAlignment="1">
      <alignment horizontal="center" vertical="center"/>
    </xf>
    <xf numFmtId="0" fontId="0" fillId="16" borderId="17" xfId="0" applyFill="1" applyBorder="1" applyAlignment="1">
      <alignment horizontal="center" vertical="center"/>
    </xf>
    <xf numFmtId="0" fontId="0" fillId="3" borderId="24" xfId="0" applyFill="1" applyBorder="1"/>
    <xf numFmtId="0" fontId="0" fillId="3" borderId="2" xfId="0" applyFill="1" applyBorder="1"/>
    <xf numFmtId="0" fontId="0" fillId="16" borderId="13" xfId="0" applyFill="1" applyBorder="1" applyAlignment="1">
      <alignment horizontal="center" vertical="center"/>
    </xf>
    <xf numFmtId="0" fontId="0" fillId="16" borderId="12" xfId="0" applyFill="1" applyBorder="1" applyAlignment="1">
      <alignment horizontal="center" vertical="center"/>
    </xf>
    <xf numFmtId="0" fontId="6" fillId="3" borderId="0" xfId="0" applyFont="1" applyFill="1" applyAlignment="1">
      <alignment horizontal="right"/>
    </xf>
    <xf numFmtId="0" fontId="0" fillId="16" borderId="0" xfId="0" applyFill="1" applyAlignment="1">
      <alignment horizontal="center" vertical="center"/>
    </xf>
    <xf numFmtId="0" fontId="0" fillId="16" borderId="19" xfId="0" applyFill="1" applyBorder="1" applyAlignment="1">
      <alignment horizontal="center" vertical="center"/>
    </xf>
    <xf numFmtId="0" fontId="8" fillId="0" borderId="0" xfId="0" applyFont="1" applyAlignment="1">
      <alignment horizontal="center" vertical="center" wrapText="1"/>
    </xf>
    <xf numFmtId="0" fontId="8" fillId="13"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3" fillId="17" borderId="30" xfId="0" applyFont="1" applyFill="1" applyBorder="1" applyAlignment="1">
      <alignment horizontal="center" vertical="center" wrapText="1"/>
    </xf>
    <xf numFmtId="0" fontId="3" fillId="17" borderId="31" xfId="0" applyFont="1" applyFill="1" applyBorder="1" applyAlignment="1">
      <alignment horizontal="center" vertical="center" wrapText="1"/>
    </xf>
    <xf numFmtId="0" fontId="20" fillId="17" borderId="27" xfId="0" applyFont="1" applyFill="1" applyBorder="1" applyAlignment="1">
      <alignment horizontal="center" vertical="center"/>
    </xf>
    <xf numFmtId="0" fontId="20" fillId="17" borderId="8" xfId="0" applyFont="1" applyFill="1" applyBorder="1" applyAlignment="1">
      <alignment horizontal="center" vertical="center"/>
    </xf>
    <xf numFmtId="0" fontId="19" fillId="9" borderId="4" xfId="0" applyFont="1" applyFill="1" applyBorder="1" applyAlignment="1">
      <alignment horizontal="center" vertical="center"/>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0" fillId="5" borderId="0" xfId="0" applyFill="1"/>
    <xf numFmtId="0" fontId="22"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16" borderId="22" xfId="0" applyFill="1" applyBorder="1" applyAlignment="1">
      <alignment horizontal="center" vertical="center"/>
    </xf>
    <xf numFmtId="0" fontId="0" fillId="16" borderId="23" xfId="0" applyFill="1" applyBorder="1" applyAlignment="1">
      <alignment horizontal="center" vertical="center"/>
    </xf>
    <xf numFmtId="0" fontId="23" fillId="2" borderId="35" xfId="0" applyFont="1" applyFill="1" applyBorder="1" applyAlignment="1">
      <alignment horizontal="center" vertical="center" wrapText="1"/>
    </xf>
    <xf numFmtId="0" fontId="23" fillId="2" borderId="36" xfId="0" applyFont="1" applyFill="1" applyBorder="1" applyAlignment="1">
      <alignment horizontal="center" vertical="center" wrapText="1"/>
    </xf>
    <xf numFmtId="0" fontId="23" fillId="2" borderId="8" xfId="0" applyFont="1" applyFill="1" applyBorder="1" applyAlignment="1">
      <alignment horizontal="center" vertical="center" wrapText="1"/>
    </xf>
    <xf numFmtId="0" fontId="23"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18" borderId="0" xfId="0" applyFill="1" applyAlignment="1">
      <alignment horizontal="center" vertical="center" wrapText="1"/>
    </xf>
    <xf numFmtId="0" fontId="23" fillId="18" borderId="35" xfId="0" applyFont="1" applyFill="1" applyBorder="1" applyAlignment="1">
      <alignment horizontal="center" vertical="center" wrapText="1"/>
    </xf>
    <xf numFmtId="0" fontId="23" fillId="18" borderId="36" xfId="0" applyFont="1" applyFill="1" applyBorder="1" applyAlignment="1">
      <alignment horizontal="center" vertical="center" wrapText="1"/>
    </xf>
    <xf numFmtId="0" fontId="23" fillId="18" borderId="8" xfId="0" applyFont="1" applyFill="1" applyBorder="1" applyAlignment="1">
      <alignment horizontal="center" vertical="center" wrapText="1"/>
    </xf>
    <xf numFmtId="0" fontId="23" fillId="18"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4"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8" xfId="0" applyBorder="1" applyAlignment="1">
      <alignment horizontal="center" vertical="center"/>
    </xf>
    <xf numFmtId="0" fontId="0" fillId="0" borderId="37" xfId="0" applyBorder="1" applyAlignment="1">
      <alignment horizontal="center" vertical="center"/>
    </xf>
    <xf numFmtId="0" fontId="0" fillId="19" borderId="31" xfId="0" applyFill="1" applyBorder="1"/>
    <xf numFmtId="0" fontId="0" fillId="19"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0" borderId="35" xfId="0" applyFill="1" applyBorder="1" applyAlignment="1">
      <alignment horizontal="center" vertical="center"/>
    </xf>
    <xf numFmtId="0" fontId="0" fillId="16" borderId="34" xfId="0" applyFill="1" applyBorder="1" applyAlignment="1">
      <alignment horizontal="center" vertical="center"/>
    </xf>
    <xf numFmtId="0" fontId="0" fillId="16" borderId="33" xfId="0" applyFill="1" applyBorder="1" applyAlignment="1">
      <alignment horizontal="center" vertical="center"/>
    </xf>
    <xf numFmtId="0" fontId="0" fillId="19" borderId="0" xfId="0" applyFill="1"/>
    <xf numFmtId="0" fontId="0" fillId="19" borderId="38" xfId="0" applyFill="1" applyBorder="1"/>
    <xf numFmtId="0" fontId="6" fillId="3" borderId="28" xfId="0" applyFont="1" applyFill="1" applyBorder="1" applyAlignment="1">
      <alignment horizontal="center" vertical="center"/>
    </xf>
    <xf numFmtId="164" fontId="0" fillId="0" borderId="0" xfId="0" applyNumberFormat="1"/>
    <xf numFmtId="0" fontId="11" fillId="15"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5"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6" borderId="0" xfId="0" applyFont="1" applyFill="1" applyAlignment="1">
      <alignment horizontal="center" vertical="center"/>
    </xf>
    <xf numFmtId="49" fontId="0" fillId="3" borderId="0" xfId="0" applyNumberFormat="1" applyFill="1" applyAlignment="1">
      <alignment horizontal="center" vertical="center" wrapText="1"/>
    </xf>
    <xf numFmtId="49" fontId="16" fillId="3" borderId="0" xfId="0" applyNumberFormat="1" applyFont="1" applyFill="1" applyAlignment="1">
      <alignment horizontal="left" vertical="center"/>
    </xf>
    <xf numFmtId="49" fontId="0" fillId="3" borderId="0" xfId="0" applyNumberFormat="1" applyFill="1"/>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1" borderId="30" xfId="0" applyFill="1" applyBorder="1" applyAlignment="1">
      <alignment horizontal="center" vertical="center"/>
    </xf>
    <xf numFmtId="0" fontId="0" fillId="22"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2" borderId="11" xfId="0" applyNumberFormat="1" applyFont="1" applyFill="1" applyBorder="1" applyAlignment="1">
      <alignment horizontal="center" vertical="center" wrapText="1"/>
    </xf>
    <xf numFmtId="49" fontId="0" fillId="3" borderId="24" xfId="0" applyNumberFormat="1" applyFill="1" applyBorder="1" applyAlignment="1">
      <alignment horizontal="left" textRotation="45"/>
    </xf>
    <xf numFmtId="49" fontId="9" fillId="10" borderId="22" xfId="0" applyNumberFormat="1" applyFont="1" applyFill="1" applyBorder="1" applyAlignment="1">
      <alignment horizontal="right" vertical="center"/>
    </xf>
    <xf numFmtId="49" fontId="9" fillId="10" borderId="23" xfId="0" applyNumberFormat="1" applyFont="1" applyFill="1" applyBorder="1" applyAlignment="1">
      <alignment horizontal="right" vertical="center"/>
    </xf>
    <xf numFmtId="49" fontId="9" fillId="10"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0" fontId="8" fillId="13" borderId="0" xfId="0" applyFont="1" applyFill="1" applyAlignment="1">
      <alignment horizontal="center" wrapText="1"/>
    </xf>
    <xf numFmtId="0" fontId="0" fillId="0" borderId="0" xfId="0" applyAlignment="1">
      <alignment horizontal="center"/>
    </xf>
    <xf numFmtId="0" fontId="0" fillId="4" borderId="0" xfId="0" applyFill="1" applyAlignment="1">
      <alignment horizontal="center"/>
    </xf>
    <xf numFmtId="49" fontId="25" fillId="3" borderId="0" xfId="0" applyNumberFormat="1" applyFont="1" applyFill="1" applyAlignment="1">
      <alignment horizontal="right"/>
    </xf>
    <xf numFmtId="0" fontId="0" fillId="0" borderId="28" xfId="0" applyBorder="1" applyAlignment="1">
      <alignment horizontal="center" vertical="center"/>
    </xf>
    <xf numFmtId="0" fontId="0" fillId="25" borderId="9" xfId="0" applyFill="1" applyBorder="1" applyAlignment="1">
      <alignment horizontal="center" vertical="center"/>
    </xf>
    <xf numFmtId="49" fontId="6" fillId="3" borderId="0" xfId="0" applyNumberFormat="1" applyFont="1" applyFill="1" applyAlignment="1">
      <alignment horizontal="right" vertical="center"/>
    </xf>
    <xf numFmtId="49" fontId="8" fillId="12" borderId="32" xfId="0" applyNumberFormat="1" applyFont="1" applyFill="1" applyBorder="1" applyAlignment="1">
      <alignment horizontal="right" textRotation="45"/>
    </xf>
    <xf numFmtId="49" fontId="0" fillId="3" borderId="0" xfId="0" applyNumberFormat="1" applyFill="1" applyAlignment="1">
      <alignment horizontal="right" textRotation="45"/>
    </xf>
    <xf numFmtId="49" fontId="0" fillId="0" borderId="0" xfId="0" applyNumberFormat="1" applyAlignment="1">
      <alignment horizontal="right" textRotation="45"/>
    </xf>
    <xf numFmtId="0" fontId="0" fillId="16" borderId="0" xfId="0" applyFill="1"/>
    <xf numFmtId="0" fontId="0" fillId="16" borderId="18" xfId="0" applyFill="1" applyBorder="1" applyAlignment="1">
      <alignment horizontal="center" vertical="center"/>
    </xf>
    <xf numFmtId="49" fontId="9" fillId="11" borderId="20" xfId="0" applyNumberFormat="1" applyFont="1" applyFill="1" applyBorder="1" applyAlignment="1">
      <alignment horizontal="center" textRotation="45"/>
    </xf>
    <xf numFmtId="49" fontId="9" fillId="11" borderId="21" xfId="0" applyNumberFormat="1" applyFont="1" applyFill="1" applyBorder="1" applyAlignment="1">
      <alignment horizontal="center" textRotation="45"/>
    </xf>
    <xf numFmtId="49" fontId="9" fillId="11" borderId="25" xfId="0" applyNumberFormat="1" applyFont="1" applyFill="1" applyBorder="1" applyAlignment="1">
      <alignment horizontal="center" textRotation="45"/>
    </xf>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24"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xf numFmtId="0" fontId="0" fillId="161" borderId="0" xfId="0" applyFill="1"/>
    <xf numFmtId="0" fontId="0" fillId="162" borderId="0" xfId="0" applyFill="1"/>
    <xf numFmtId="0" fontId="0" fillId="163" borderId="0" xfId="0" applyFill="1"/>
    <xf numFmtId="0" fontId="0" fillId="164" borderId="0" xfId="0" applyFill="1"/>
    <xf numFmtId="0" fontId="0" fillId="165" borderId="0" xfId="0" applyFill="1"/>
    <xf numFmtId="0" fontId="0" fillId="166" borderId="0" xfId="0" applyFill="1"/>
    <xf numFmtId="0" fontId="0" fillId="167" borderId="0" xfId="0" applyFill="1"/>
    <xf numFmtId="0" fontId="0" fillId="168" borderId="0" xfId="0" applyFill="1"/>
    <xf numFmtId="0" fontId="0" fillId="169" borderId="0" xfId="0" applyFill="1"/>
    <xf numFmtId="0" fontId="0" fillId="170" borderId="0" xfId="0" applyFill="1"/>
    <xf numFmtId="0" fontId="0" fillId="171" borderId="0" xfId="0" applyFill="1"/>
    <xf numFmtId="0" fontId="0" fillId="172" borderId="0" xfId="0" applyFill="1"/>
    <xf numFmtId="0" fontId="0" fillId="173" borderId="0" xfId="0" applyFill="1"/>
    <xf numFmtId="0" fontId="0" fillId="174" borderId="0" xfId="0" applyFill="1"/>
    <xf numFmtId="0" fontId="0" fillId="175" borderId="0" xfId="0" applyFill="1"/>
    <xf numFmtId="0" fontId="0" fillId="176" borderId="0" xfId="0" applyFill="1"/>
    <xf numFmtId="0" fontId="0" fillId="177" borderId="0" xfId="0" applyFill="1"/>
    <xf numFmtId="0" fontId="0" fillId="178" borderId="0" xfId="0" applyFill="1"/>
    <xf numFmtId="0" fontId="0" fillId="179" borderId="0" xfId="0" applyFill="1"/>
    <xf numFmtId="0" fontId="0" fillId="180" borderId="0" xfId="0" applyFill="1"/>
    <xf numFmtId="0" fontId="0" fillId="181" borderId="0" xfId="0" applyFill="1"/>
    <xf numFmtId="0" fontId="0" fillId="182" borderId="0" xfId="0" applyFill="1"/>
    <xf numFmtId="0" fontId="0" fillId="183" borderId="0" xfId="0" applyFill="1"/>
    <xf numFmtId="0" fontId="0" fillId="184" borderId="0" xfId="0" applyFill="1"/>
    <xf numFmtId="0" fontId="0" fillId="185" borderId="0" xfId="0" applyFill="1"/>
    <xf numFmtId="0" fontId="0" fillId="186" borderId="0" xfId="0" applyFill="1"/>
    <xf numFmtId="0" fontId="0" fillId="187" borderId="0" xfId="0" applyFill="1"/>
    <xf numFmtId="0" fontId="0" fillId="188" borderId="0" xfId="0" applyFill="1"/>
    <xf numFmtId="0" fontId="0" fillId="189" borderId="0" xfId="0" applyFill="1"/>
    <xf numFmtId="0" fontId="0" fillId="190" borderId="0" xfId="0" applyFill="1"/>
    <xf numFmtId="0" fontId="0" fillId="191" borderId="0" xfId="0" applyFill="1"/>
    <xf numFmtId="0" fontId="8" fillId="13" borderId="0" xfId="0" applyFont="1" applyFill="1" applyAlignment="1">
      <alignment horizontal="left" vertical="center"/>
    </xf>
    <xf numFmtId="0" fontId="0" fillId="23" borderId="29" xfId="0" applyFill="1" applyBorder="1" applyAlignment="1">
      <alignment horizontal="center" vertical="center"/>
    </xf>
    <xf numFmtId="0" fontId="0" fillId="26" borderId="9" xfId="0" applyFill="1" applyBorder="1" applyAlignment="1">
      <alignment horizontal="center" vertical="center"/>
    </xf>
    <xf numFmtId="0" fontId="0" fillId="0" borderId="27" xfId="0" applyBorder="1"/>
    <xf numFmtId="0" fontId="0" fillId="4" borderId="0" xfId="0" applyFill="1" applyAlignment="1">
      <alignment horizontal="center" vertical="center"/>
    </xf>
    <xf numFmtId="49" fontId="9" fillId="12" borderId="20" xfId="0" applyNumberFormat="1" applyFont="1" applyFill="1" applyBorder="1" applyAlignment="1">
      <alignment horizontal="center" textRotation="45"/>
    </xf>
    <xf numFmtId="0" fontId="3" fillId="192" borderId="30" xfId="0" applyFont="1" applyFill="1" applyBorder="1" applyAlignment="1">
      <alignment horizontal="center" vertical="center" wrapText="1"/>
    </xf>
    <xf numFmtId="0" fontId="3" fillId="192" borderId="31" xfId="0" applyFont="1" applyFill="1" applyBorder="1" applyAlignment="1">
      <alignment horizontal="center" vertical="center" wrapText="1"/>
    </xf>
    <xf numFmtId="0" fontId="20" fillId="192" borderId="27" xfId="0" applyFont="1" applyFill="1" applyBorder="1" applyAlignment="1">
      <alignment horizontal="center" vertical="center"/>
    </xf>
    <xf numFmtId="0" fontId="20" fillId="192" borderId="8" xfId="0" applyFont="1" applyFill="1" applyBorder="1" applyAlignment="1">
      <alignment horizontal="center" vertical="center"/>
    </xf>
    <xf numFmtId="0" fontId="26" fillId="3" borderId="0" xfId="0" applyFont="1" applyFill="1" applyAlignment="1">
      <alignment horizontal="right"/>
    </xf>
    <xf numFmtId="0" fontId="0" fillId="24" borderId="0" xfId="0" applyFill="1" applyAlignment="1">
      <alignment horizontal="right" vertical="top"/>
    </xf>
    <xf numFmtId="0" fontId="0" fillId="24" borderId="0" xfId="0" applyFill="1" applyAlignment="1">
      <alignment horizontal="center" vertical="top"/>
    </xf>
    <xf numFmtId="0" fontId="3" fillId="193" borderId="31" xfId="0" applyFont="1" applyFill="1" applyBorder="1" applyAlignment="1">
      <alignment horizontal="center" vertical="center" wrapText="1"/>
    </xf>
    <xf numFmtId="0" fontId="20" fillId="193" borderId="8" xfId="0" applyFont="1" applyFill="1" applyBorder="1" applyAlignment="1">
      <alignment horizontal="center" vertical="center"/>
    </xf>
    <xf numFmtId="0" fontId="0" fillId="9" borderId="36" xfId="0" applyFill="1" applyBorder="1"/>
    <xf numFmtId="0" fontId="3" fillId="194" borderId="31" xfId="0" applyFont="1" applyFill="1" applyBorder="1" applyAlignment="1">
      <alignment horizontal="center" vertical="center" wrapText="1"/>
    </xf>
    <xf numFmtId="0" fontId="20" fillId="194" borderId="8" xfId="0" applyFont="1" applyFill="1" applyBorder="1" applyAlignment="1">
      <alignment horizontal="center" vertical="center"/>
    </xf>
    <xf numFmtId="2" fontId="0" fillId="2" borderId="0" xfId="0" applyNumberFormat="1" applyFill="1" applyAlignment="1">
      <alignment horizontal="center" vertical="center"/>
    </xf>
    <xf numFmtId="0" fontId="0" fillId="2" borderId="0" xfId="0" applyFill="1" applyAlignment="1">
      <alignment horizontal="center" vertical="center"/>
    </xf>
    <xf numFmtId="0" fontId="6" fillId="5" borderId="0" xfId="0" applyFont="1" applyFill="1" applyAlignment="1">
      <alignment horizontal="center" vertical="center"/>
    </xf>
    <xf numFmtId="0" fontId="6" fillId="3" borderId="0" xfId="0" applyFont="1" applyFill="1" applyAlignment="1">
      <alignment horizontal="center" vertical="center"/>
    </xf>
    <xf numFmtId="0" fontId="19" fillId="195" borderId="30" xfId="0" applyFont="1" applyFill="1" applyBorder="1" applyAlignment="1">
      <alignment horizontal="center" vertical="center"/>
    </xf>
    <xf numFmtId="0" fontId="20" fillId="195" borderId="27" xfId="0" applyFont="1" applyFill="1" applyBorder="1" applyAlignment="1">
      <alignment horizontal="center" vertical="center"/>
    </xf>
    <xf numFmtId="0" fontId="20" fillId="9" borderId="36" xfId="0" applyFont="1" applyFill="1" applyBorder="1" applyAlignment="1">
      <alignment horizontal="center" vertical="center"/>
    </xf>
    <xf numFmtId="0" fontId="19" fillId="195" borderId="39" xfId="0" applyFont="1" applyFill="1" applyBorder="1" applyAlignment="1">
      <alignment horizontal="center" vertical="center"/>
    </xf>
    <xf numFmtId="0" fontId="21" fillId="195" borderId="37" xfId="0" applyFont="1" applyFill="1" applyBorder="1" applyAlignment="1">
      <alignment horizontal="center" vertical="center"/>
    </xf>
    <xf numFmtId="0" fontId="6" fillId="3" borderId="39" xfId="0" applyFont="1" applyFill="1" applyBorder="1" applyAlignment="1">
      <alignment horizontal="left" vertical="center"/>
    </xf>
    <xf numFmtId="0" fontId="6" fillId="5" borderId="38" xfId="0" applyFont="1" applyFill="1" applyBorder="1" applyAlignment="1">
      <alignment horizontal="left" vertical="center"/>
    </xf>
    <xf numFmtId="0" fontId="6" fillId="3" borderId="38" xfId="0" applyFont="1" applyFill="1" applyBorder="1" applyAlignment="1">
      <alignment horizontal="center" vertical="center"/>
    </xf>
    <xf numFmtId="0" fontId="23" fillId="2" borderId="41" xfId="0" applyFont="1" applyFill="1" applyBorder="1" applyAlignment="1">
      <alignment horizontal="center" vertical="center" wrapText="1"/>
    </xf>
    <xf numFmtId="49" fontId="9" fillId="12" borderId="22" xfId="0" applyNumberFormat="1" applyFont="1" applyFill="1" applyBorder="1" applyAlignment="1">
      <alignment horizontal="right" vertical="center"/>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800F0000"/>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A1F61-7E2A-449C-B0F9-6BEF180C285B}">
  <sheetPr codeName="Feuil4">
    <tabColor theme="8"/>
  </sheetPr>
  <dimension ref="A1"/>
  <sheetViews>
    <sheetView tabSelected="1" zoomScale="85" zoomScaleNormal="85" workbookViewId="0">
      <selection activeCell="G19" sqref="G19"/>
    </sheetView>
  </sheetViews>
  <sheetFormatPr baseColWidth="10" defaultRowHeight="15" x14ac:dyDescent="0.25"/>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C8" sqref="C8"/>
    </sheetView>
  </sheetViews>
  <sheetFormatPr baseColWidth="10" defaultRowHeight="15" x14ac:dyDescent="0.25"/>
  <cols>
    <col min="1" max="1" width="40.42578125" style="7" customWidth="1"/>
    <col min="2" max="4" width="13.140625" style="5" customWidth="1"/>
    <col min="5" max="7" width="18.140625" style="5" customWidth="1"/>
    <col min="8" max="16" width="11.42578125" style="106"/>
    <col min="17" max="20" width="11.42578125" style="4"/>
    <col min="22" max="22" width="13.42578125" customWidth="1"/>
    <col min="26" max="26" width="18.42578125" customWidth="1"/>
    <col min="28" max="28" width="13.140625" customWidth="1"/>
  </cols>
  <sheetData>
    <row r="1" spans="1:35" s="72" customFormat="1" ht="18.75" x14ac:dyDescent="0.25">
      <c r="A1" s="335" t="s">
        <v>302</v>
      </c>
      <c r="B1" s="67" t="s">
        <v>303</v>
      </c>
      <c r="C1" s="68" t="s">
        <v>304</v>
      </c>
      <c r="D1" s="68" t="s">
        <v>305</v>
      </c>
      <c r="E1" s="68" t="s">
        <v>306</v>
      </c>
      <c r="F1" s="69" t="s">
        <v>307</v>
      </c>
      <c r="G1" s="70" t="s">
        <v>308</v>
      </c>
      <c r="H1" s="104"/>
      <c r="I1" s="104"/>
      <c r="J1" s="104"/>
      <c r="K1" s="104"/>
      <c r="L1" s="104"/>
      <c r="M1" s="104"/>
      <c r="N1" s="104"/>
      <c r="O1" s="104"/>
      <c r="P1" s="104"/>
      <c r="Q1" s="71"/>
      <c r="R1" s="71"/>
      <c r="S1" s="71"/>
      <c r="T1" s="71"/>
      <c r="U1" s="71"/>
      <c r="V1" s="73"/>
      <c r="W1" s="74" t="s">
        <v>303</v>
      </c>
      <c r="X1" s="75" t="s">
        <v>304</v>
      </c>
      <c r="Y1" s="75" t="s">
        <v>305</v>
      </c>
      <c r="Z1" s="75" t="s">
        <v>306</v>
      </c>
      <c r="AA1" s="76" t="s">
        <v>307</v>
      </c>
      <c r="AB1" s="77" t="s">
        <v>308</v>
      </c>
      <c r="AC1" s="71"/>
      <c r="AD1" s="71"/>
      <c r="AE1" s="71"/>
      <c r="AF1" s="71"/>
      <c r="AG1" s="71"/>
      <c r="AH1" s="71"/>
      <c r="AI1" s="71"/>
    </row>
    <row r="2" spans="1:35" ht="21" x14ac:dyDescent="0.25">
      <c r="A2" s="78"/>
      <c r="B2" s="128"/>
      <c r="G2" s="79"/>
      <c r="H2" s="105" t="s">
        <v>309</v>
      </c>
      <c r="U2" s="4"/>
      <c r="V2" s="80" t="s">
        <v>362</v>
      </c>
      <c r="W2" s="91">
        <v>6250335</v>
      </c>
      <c r="X2" s="85"/>
      <c r="Y2" s="85"/>
      <c r="Z2" s="87">
        <v>0</v>
      </c>
      <c r="AA2" s="5" t="s">
        <v>43</v>
      </c>
      <c r="AB2" s="88">
        <v>1</v>
      </c>
      <c r="AC2" s="4"/>
      <c r="AD2" s="4"/>
      <c r="AE2" s="4"/>
      <c r="AF2" s="4"/>
      <c r="AG2" s="4"/>
      <c r="AH2" s="4"/>
      <c r="AI2" s="4"/>
    </row>
    <row r="3" spans="1:35" x14ac:dyDescent="0.25">
      <c r="A3" s="78"/>
      <c r="B3" s="128"/>
      <c r="G3" s="79"/>
      <c r="U3" s="4"/>
      <c r="V3" s="89" t="s">
        <v>318</v>
      </c>
      <c r="W3" s="306">
        <v>13382400</v>
      </c>
      <c r="X3" s="85"/>
      <c r="Y3" s="85"/>
      <c r="Z3" s="85"/>
      <c r="AA3" s="85"/>
      <c r="AB3" s="86"/>
      <c r="AC3" s="4"/>
      <c r="AD3" s="4"/>
      <c r="AE3" s="4"/>
      <c r="AF3" s="4"/>
      <c r="AG3" s="4"/>
      <c r="AH3" s="4"/>
      <c r="AI3" s="4"/>
    </row>
    <row r="4" spans="1:35" x14ac:dyDescent="0.25">
      <c r="A4" s="78"/>
      <c r="B4" s="128"/>
      <c r="G4" s="79"/>
      <c r="H4" s="127" t="s">
        <v>353</v>
      </c>
      <c r="U4" s="4"/>
      <c r="V4" s="96" t="s">
        <v>317</v>
      </c>
      <c r="W4" s="129">
        <v>3381555</v>
      </c>
      <c r="X4" s="94"/>
      <c r="Y4" s="94"/>
      <c r="Z4" s="94"/>
      <c r="AA4" s="94"/>
      <c r="AB4" s="95"/>
      <c r="AC4" s="4"/>
      <c r="AD4" s="4"/>
      <c r="AE4" s="4"/>
      <c r="AF4" s="4"/>
      <c r="AG4" s="4"/>
      <c r="AH4" s="4"/>
      <c r="AI4" s="4"/>
    </row>
    <row r="5" spans="1:35" x14ac:dyDescent="0.25">
      <c r="A5" s="78"/>
      <c r="B5" s="128"/>
      <c r="G5" s="79"/>
      <c r="I5" s="106" t="s">
        <v>354</v>
      </c>
      <c r="U5" s="4"/>
      <c r="V5" s="90" t="s">
        <v>321</v>
      </c>
      <c r="W5" s="307">
        <v>204</v>
      </c>
      <c r="X5" s="94"/>
      <c r="Y5" s="94"/>
      <c r="Z5" s="94"/>
      <c r="AA5" s="94"/>
      <c r="AB5" s="95"/>
      <c r="AC5" s="4"/>
      <c r="AD5" s="4"/>
      <c r="AE5" s="4"/>
      <c r="AF5" s="4"/>
      <c r="AG5" s="4"/>
      <c r="AH5" s="4"/>
      <c r="AI5" s="4"/>
    </row>
    <row r="6" spans="1:35" x14ac:dyDescent="0.25">
      <c r="A6" s="81"/>
      <c r="B6" s="128"/>
      <c r="G6" s="79"/>
      <c r="I6" s="106" t="s">
        <v>361</v>
      </c>
      <c r="U6" s="4"/>
      <c r="V6" s="113" t="s">
        <v>359</v>
      </c>
      <c r="W6" s="111">
        <v>4934475</v>
      </c>
      <c r="X6" s="94"/>
      <c r="Y6" s="94"/>
      <c r="Z6" s="107">
        <v>0</v>
      </c>
      <c r="AA6" s="107" t="s">
        <v>44</v>
      </c>
      <c r="AB6" s="108">
        <v>0.75</v>
      </c>
      <c r="AC6" s="4"/>
      <c r="AD6" s="4"/>
      <c r="AE6" s="4"/>
      <c r="AF6" s="4"/>
      <c r="AG6" s="4"/>
      <c r="AH6" s="4"/>
      <c r="AI6" s="4"/>
    </row>
    <row r="7" spans="1:35" x14ac:dyDescent="0.25">
      <c r="A7" s="78"/>
      <c r="B7" s="128"/>
      <c r="G7" s="79"/>
      <c r="U7" s="4"/>
      <c r="V7" s="114" t="s">
        <v>360</v>
      </c>
      <c r="W7" s="112">
        <v>11513775</v>
      </c>
      <c r="X7" s="94"/>
      <c r="Y7" s="94"/>
      <c r="Z7" s="109">
        <v>0</v>
      </c>
      <c r="AA7" s="109" t="s">
        <v>44</v>
      </c>
      <c r="AB7" s="110">
        <v>0.25</v>
      </c>
      <c r="AC7" s="4"/>
      <c r="AD7" s="4"/>
      <c r="AE7" s="4"/>
      <c r="AF7" s="4"/>
      <c r="AG7" s="4"/>
      <c r="AH7" s="4"/>
      <c r="AI7" s="4"/>
    </row>
    <row r="8" spans="1:35" x14ac:dyDescent="0.25">
      <c r="A8" s="78"/>
      <c r="B8" s="128"/>
      <c r="G8" s="79"/>
      <c r="U8" s="4"/>
      <c r="V8" s="4"/>
      <c r="W8" s="4"/>
      <c r="X8" s="4"/>
      <c r="Y8" s="4"/>
      <c r="Z8" s="4"/>
      <c r="AA8" s="4"/>
      <c r="AB8" s="4"/>
      <c r="AC8" s="4"/>
      <c r="AD8" s="4"/>
      <c r="AE8" s="4"/>
      <c r="AF8" s="4"/>
      <c r="AG8" s="4"/>
      <c r="AH8" s="4"/>
      <c r="AI8" s="4"/>
    </row>
    <row r="9" spans="1:35" x14ac:dyDescent="0.25">
      <c r="A9" s="78"/>
      <c r="B9" s="128"/>
      <c r="G9" s="79"/>
      <c r="U9" s="4"/>
      <c r="V9" s="4"/>
      <c r="W9" s="4"/>
      <c r="X9" s="4"/>
      <c r="Y9" s="4"/>
      <c r="Z9" s="4"/>
      <c r="AA9" s="4"/>
      <c r="AB9" s="4"/>
      <c r="AC9" s="4"/>
      <c r="AD9" s="4"/>
      <c r="AE9" s="4"/>
      <c r="AF9" s="4"/>
      <c r="AG9" s="4"/>
      <c r="AH9" s="4"/>
      <c r="AI9" s="4"/>
    </row>
    <row r="10" spans="1:35" x14ac:dyDescent="0.25">
      <c r="A10" s="81"/>
      <c r="B10" s="128"/>
      <c r="G10" s="79"/>
      <c r="U10" s="4"/>
      <c r="V10" s="4"/>
      <c r="W10" s="4"/>
      <c r="X10" s="4"/>
      <c r="Y10" s="4"/>
      <c r="Z10" s="4"/>
      <c r="AA10" s="4"/>
      <c r="AB10" s="4"/>
      <c r="AC10" s="4"/>
      <c r="AD10" s="4"/>
      <c r="AE10" s="4"/>
      <c r="AF10" s="4"/>
      <c r="AG10" s="4"/>
      <c r="AH10" s="4"/>
      <c r="AI10" s="4"/>
    </row>
    <row r="11" spans="1:35" x14ac:dyDescent="0.25">
      <c r="A11" s="81"/>
      <c r="B11" s="128"/>
      <c r="G11" s="79"/>
      <c r="U11" s="4"/>
      <c r="V11" s="4"/>
      <c r="W11" s="4"/>
      <c r="X11" s="4"/>
      <c r="Y11" s="4"/>
      <c r="Z11" s="4"/>
      <c r="AA11" s="4"/>
      <c r="AB11" s="4"/>
      <c r="AC11" s="4"/>
      <c r="AD11" s="4"/>
      <c r="AE11" s="4"/>
      <c r="AF11" s="4"/>
      <c r="AG11" s="4"/>
      <c r="AH11" s="4"/>
      <c r="AI11" s="4"/>
    </row>
    <row r="12" spans="1:35" x14ac:dyDescent="0.25">
      <c r="A12" s="78"/>
      <c r="B12" s="128"/>
      <c r="G12" s="79"/>
      <c r="U12" s="4"/>
      <c r="V12" s="4"/>
      <c r="W12" s="4"/>
      <c r="X12" s="4"/>
      <c r="Y12" s="4"/>
      <c r="Z12" s="4"/>
      <c r="AA12" s="4"/>
      <c r="AB12" s="4"/>
      <c r="AC12" s="4"/>
      <c r="AD12" s="4"/>
      <c r="AE12" s="4"/>
      <c r="AF12" s="4"/>
      <c r="AG12" s="4"/>
      <c r="AH12" s="4"/>
      <c r="AI12" s="4"/>
    </row>
    <row r="13" spans="1:35" x14ac:dyDescent="0.25">
      <c r="A13" s="78"/>
      <c r="B13" s="128"/>
      <c r="G13" s="79"/>
      <c r="U13" s="4"/>
      <c r="V13" s="4"/>
      <c r="W13" s="4"/>
      <c r="X13" s="4"/>
      <c r="Y13" s="4"/>
      <c r="Z13" s="4"/>
      <c r="AA13" s="4"/>
      <c r="AB13" s="4"/>
      <c r="AC13" s="4"/>
      <c r="AD13" s="4"/>
      <c r="AE13" s="4"/>
      <c r="AF13" s="4"/>
      <c r="AG13" s="4"/>
      <c r="AH13" s="4"/>
      <c r="AI13" s="4"/>
    </row>
    <row r="14" spans="1:35" x14ac:dyDescent="0.25">
      <c r="A14" s="78"/>
      <c r="B14" s="128"/>
      <c r="G14" s="79"/>
      <c r="U14" s="4"/>
      <c r="V14" s="4"/>
      <c r="W14" s="4"/>
      <c r="X14" s="4"/>
      <c r="Y14" s="4"/>
      <c r="Z14" s="4"/>
      <c r="AA14" s="4"/>
      <c r="AB14" s="4"/>
      <c r="AC14" s="4"/>
      <c r="AD14" s="4"/>
      <c r="AE14" s="4"/>
      <c r="AF14" s="4"/>
      <c r="AG14" s="4"/>
      <c r="AH14" s="4"/>
      <c r="AI14" s="4"/>
    </row>
    <row r="15" spans="1:35" x14ac:dyDescent="0.25">
      <c r="A15" s="78"/>
      <c r="B15" s="128"/>
      <c r="G15" s="79"/>
      <c r="U15" s="4"/>
      <c r="V15" s="4"/>
      <c r="W15" s="4"/>
      <c r="X15" s="4"/>
      <c r="Y15" s="4"/>
      <c r="Z15" s="4"/>
      <c r="AA15" s="4"/>
      <c r="AB15" s="4"/>
      <c r="AC15" s="4"/>
      <c r="AD15" s="4"/>
      <c r="AE15" s="4"/>
      <c r="AF15" s="4"/>
      <c r="AG15" s="4"/>
      <c r="AH15" s="4"/>
      <c r="AI15" s="4"/>
    </row>
    <row r="16" spans="1:35" x14ac:dyDescent="0.25">
      <c r="A16" s="78"/>
      <c r="B16" s="128"/>
      <c r="G16" s="79"/>
      <c r="U16" s="4"/>
      <c r="V16" s="4"/>
      <c r="W16" s="4"/>
      <c r="X16" s="4"/>
      <c r="Y16" s="4"/>
      <c r="Z16" s="4"/>
      <c r="AA16" s="4"/>
      <c r="AB16" s="4"/>
      <c r="AC16" s="4"/>
      <c r="AD16" s="4"/>
      <c r="AE16" s="4"/>
      <c r="AF16" s="4"/>
      <c r="AG16" s="4"/>
      <c r="AH16" s="4"/>
      <c r="AI16" s="4"/>
    </row>
    <row r="17" spans="1:35" x14ac:dyDescent="0.25">
      <c r="A17" s="78"/>
      <c r="B17" s="128"/>
      <c r="G17" s="79"/>
      <c r="U17" s="4"/>
      <c r="V17" s="4"/>
      <c r="W17" s="4"/>
      <c r="X17" s="4"/>
      <c r="Y17" s="4"/>
      <c r="Z17" s="4"/>
      <c r="AA17" s="4"/>
      <c r="AB17" s="4"/>
      <c r="AC17" s="4"/>
      <c r="AD17" s="4"/>
      <c r="AE17" s="4"/>
      <c r="AF17" s="4"/>
      <c r="AG17" s="4"/>
      <c r="AH17" s="4"/>
      <c r="AI17" s="4"/>
    </row>
    <row r="18" spans="1:35" x14ac:dyDescent="0.25">
      <c r="A18" s="78"/>
      <c r="B18" s="128"/>
      <c r="G18" s="79"/>
      <c r="U18" s="4"/>
      <c r="V18" s="4"/>
      <c r="W18" s="4"/>
      <c r="X18" s="4"/>
      <c r="Y18" s="4"/>
      <c r="Z18" s="4"/>
      <c r="AA18" s="4"/>
      <c r="AB18" s="4"/>
      <c r="AC18" s="4"/>
      <c r="AD18" s="4"/>
      <c r="AE18" s="4"/>
      <c r="AF18" s="4"/>
      <c r="AG18" s="4"/>
      <c r="AH18" s="4"/>
      <c r="AI18" s="4"/>
    </row>
    <row r="19" spans="1:35" x14ac:dyDescent="0.25">
      <c r="A19" s="78"/>
      <c r="B19" s="128"/>
      <c r="G19" s="79"/>
      <c r="U19" s="4"/>
      <c r="V19" s="4"/>
      <c r="W19" s="4"/>
      <c r="X19" s="4"/>
      <c r="Y19" s="4"/>
      <c r="Z19" s="4"/>
      <c r="AA19" s="4"/>
      <c r="AB19" s="4"/>
      <c r="AC19" s="4"/>
      <c r="AD19" s="4"/>
      <c r="AE19" s="4"/>
      <c r="AF19" s="4"/>
      <c r="AG19" s="4"/>
      <c r="AH19" s="4"/>
      <c r="AI19" s="4"/>
    </row>
    <row r="20" spans="1:35" x14ac:dyDescent="0.25">
      <c r="A20" s="78"/>
      <c r="B20" s="128"/>
      <c r="G20" s="79"/>
      <c r="U20" s="4"/>
      <c r="V20" s="4"/>
      <c r="W20" s="4"/>
      <c r="X20" s="4"/>
      <c r="Y20" s="4"/>
      <c r="Z20" s="4"/>
      <c r="AA20" s="4"/>
      <c r="AB20" s="4"/>
      <c r="AC20" s="4"/>
      <c r="AD20" s="4"/>
      <c r="AE20" s="4"/>
      <c r="AF20" s="4"/>
      <c r="AG20" s="4"/>
      <c r="AH20" s="4"/>
      <c r="AI20" s="4"/>
    </row>
    <row r="21" spans="1:35" x14ac:dyDescent="0.25">
      <c r="A21" s="78"/>
      <c r="B21" s="128"/>
      <c r="G21" s="79"/>
      <c r="U21" s="4"/>
      <c r="V21" s="4"/>
      <c r="W21" s="4"/>
      <c r="X21" s="4"/>
      <c r="Y21" s="4"/>
      <c r="Z21" s="4"/>
      <c r="AA21" s="4"/>
      <c r="AB21" s="4"/>
      <c r="AC21" s="4"/>
      <c r="AD21" s="4"/>
      <c r="AE21" s="4"/>
      <c r="AF21" s="4"/>
      <c r="AG21" s="4"/>
      <c r="AH21" s="4"/>
      <c r="AI21" s="4"/>
    </row>
    <row r="22" spans="1:35" x14ac:dyDescent="0.25">
      <c r="A22" s="78"/>
      <c r="B22" s="128"/>
      <c r="G22" s="79"/>
      <c r="U22" s="4"/>
      <c r="V22" s="4"/>
      <c r="W22" s="4"/>
      <c r="X22" s="4"/>
      <c r="Y22" s="4"/>
      <c r="Z22" s="4"/>
      <c r="AA22" s="4"/>
      <c r="AB22" s="4"/>
      <c r="AC22" s="4"/>
      <c r="AD22" s="4"/>
      <c r="AE22" s="4"/>
      <c r="AF22" s="4"/>
      <c r="AG22" s="4"/>
      <c r="AH22" s="4"/>
      <c r="AI22" s="4"/>
    </row>
    <row r="23" spans="1:35" x14ac:dyDescent="0.25">
      <c r="A23" s="78"/>
      <c r="B23" s="128"/>
      <c r="G23" s="79"/>
      <c r="U23" s="4"/>
      <c r="V23" s="4"/>
      <c r="W23" s="4"/>
      <c r="X23" s="4"/>
      <c r="Y23" s="4"/>
      <c r="Z23" s="4"/>
      <c r="AA23" s="4"/>
      <c r="AB23" s="4"/>
      <c r="AC23" s="4"/>
      <c r="AD23" s="4"/>
      <c r="AE23" s="4"/>
      <c r="AF23" s="4"/>
      <c r="AG23" s="4"/>
      <c r="AH23" s="4"/>
      <c r="AI23" s="4"/>
    </row>
    <row r="24" spans="1:35" x14ac:dyDescent="0.25">
      <c r="A24" s="78"/>
      <c r="B24" s="128"/>
      <c r="G24" s="79"/>
      <c r="U24" s="4"/>
      <c r="V24" s="4"/>
      <c r="W24" s="4"/>
      <c r="X24" s="4"/>
      <c r="Y24" s="4"/>
      <c r="Z24" s="4"/>
      <c r="AA24" s="4"/>
      <c r="AB24" s="4"/>
      <c r="AC24" s="4"/>
      <c r="AD24" s="4"/>
      <c r="AE24" s="4"/>
      <c r="AF24" s="4"/>
      <c r="AG24" s="4"/>
      <c r="AH24" s="4"/>
      <c r="AI24" s="4"/>
    </row>
    <row r="25" spans="1:35" x14ac:dyDescent="0.25">
      <c r="A25" s="78"/>
      <c r="B25" s="128"/>
      <c r="G25" s="79"/>
      <c r="U25" s="4"/>
      <c r="V25" s="4"/>
      <c r="W25" s="4"/>
      <c r="X25" s="4"/>
      <c r="Y25" s="4"/>
      <c r="Z25" s="4"/>
      <c r="AA25" s="4"/>
      <c r="AB25" s="4"/>
      <c r="AC25" s="4"/>
      <c r="AD25" s="4"/>
      <c r="AE25" s="4"/>
      <c r="AF25" s="4"/>
      <c r="AG25" s="4"/>
      <c r="AH25" s="4"/>
      <c r="AI25" s="4"/>
    </row>
    <row r="26" spans="1:35" x14ac:dyDescent="0.25">
      <c r="A26" s="78"/>
      <c r="B26" s="128"/>
      <c r="G26" s="79"/>
      <c r="U26" s="4"/>
      <c r="V26" s="4"/>
      <c r="W26" s="4"/>
      <c r="X26" s="4"/>
      <c r="Y26" s="4"/>
      <c r="Z26" s="4"/>
      <c r="AA26" s="4"/>
      <c r="AB26" s="4"/>
      <c r="AC26" s="4"/>
      <c r="AD26" s="4"/>
      <c r="AE26" s="4"/>
      <c r="AF26" s="4"/>
      <c r="AG26" s="4"/>
      <c r="AH26" s="4"/>
      <c r="AI26" s="4"/>
    </row>
    <row r="27" spans="1:35" x14ac:dyDescent="0.25">
      <c r="A27" s="78"/>
      <c r="B27" s="128"/>
      <c r="G27" s="79"/>
      <c r="U27" s="4"/>
      <c r="V27" s="4"/>
      <c r="W27" s="4"/>
      <c r="X27" s="4"/>
      <c r="Y27" s="4"/>
      <c r="Z27" s="4"/>
      <c r="AA27" s="4"/>
      <c r="AB27" s="4"/>
      <c r="AC27" s="4"/>
      <c r="AD27" s="4"/>
      <c r="AE27" s="4"/>
      <c r="AF27" s="4"/>
      <c r="AG27" s="4"/>
      <c r="AH27" s="4"/>
      <c r="AI27" s="4"/>
    </row>
    <row r="28" spans="1:35" x14ac:dyDescent="0.25">
      <c r="A28" s="78"/>
      <c r="B28" s="128"/>
      <c r="G28" s="79"/>
      <c r="U28" s="4"/>
      <c r="V28" s="4"/>
      <c r="W28" s="4"/>
      <c r="X28" s="4"/>
      <c r="Y28" s="4"/>
      <c r="Z28" s="4"/>
      <c r="AA28" s="4"/>
      <c r="AB28" s="4"/>
      <c r="AC28" s="4"/>
      <c r="AD28" s="4"/>
      <c r="AE28" s="4"/>
      <c r="AF28" s="4"/>
      <c r="AG28" s="4"/>
      <c r="AH28" s="4"/>
      <c r="AI28" s="4"/>
    </row>
    <row r="29" spans="1:35" x14ac:dyDescent="0.25">
      <c r="A29" s="78"/>
      <c r="B29" s="128"/>
      <c r="G29" s="79"/>
      <c r="U29" s="4"/>
      <c r="V29" s="4"/>
      <c r="W29" s="4"/>
      <c r="X29" s="4"/>
      <c r="Y29" s="4"/>
      <c r="Z29" s="4"/>
      <c r="AA29" s="4"/>
      <c r="AB29" s="4"/>
      <c r="AC29" s="4"/>
      <c r="AD29" s="4"/>
      <c r="AE29" s="4"/>
      <c r="AF29" s="4"/>
      <c r="AG29" s="4"/>
      <c r="AH29" s="4"/>
      <c r="AI29" s="4"/>
    </row>
    <row r="30" spans="1:35" x14ac:dyDescent="0.25">
      <c r="A30" s="78"/>
      <c r="B30" s="128"/>
      <c r="G30" s="79"/>
      <c r="U30" s="4"/>
      <c r="V30" s="4"/>
      <c r="W30" s="4"/>
      <c r="X30" s="4"/>
      <c r="Y30" s="4"/>
      <c r="Z30" s="4"/>
      <c r="AA30" s="4"/>
      <c r="AB30" s="4"/>
      <c r="AC30" s="4"/>
      <c r="AD30" s="4"/>
      <c r="AE30" s="4"/>
      <c r="AF30" s="4"/>
      <c r="AG30" s="4"/>
      <c r="AH30" s="4"/>
      <c r="AI30" s="4"/>
    </row>
    <row r="31" spans="1:35" x14ac:dyDescent="0.25">
      <c r="A31" s="78"/>
      <c r="B31" s="128"/>
      <c r="G31" s="79"/>
      <c r="U31" s="4"/>
      <c r="V31" s="4"/>
      <c r="W31" s="4"/>
      <c r="X31" s="4"/>
      <c r="Y31" s="4"/>
      <c r="Z31" s="4"/>
      <c r="AA31" s="4"/>
      <c r="AB31" s="4"/>
      <c r="AC31" s="4"/>
      <c r="AD31" s="4"/>
      <c r="AE31" s="4"/>
      <c r="AF31" s="4"/>
      <c r="AG31" s="4"/>
      <c r="AH31" s="4"/>
      <c r="AI31" s="4"/>
    </row>
    <row r="32" spans="1:35" x14ac:dyDescent="0.25">
      <c r="A32" s="78"/>
      <c r="B32" s="128"/>
      <c r="G32" s="79"/>
      <c r="U32" s="4"/>
      <c r="V32" s="4"/>
      <c r="W32" s="4"/>
      <c r="X32" s="4"/>
      <c r="Y32" s="4"/>
      <c r="Z32" s="4"/>
      <c r="AA32" s="4"/>
      <c r="AB32" s="4"/>
      <c r="AC32" s="4"/>
      <c r="AD32" s="4"/>
      <c r="AE32" s="4"/>
      <c r="AF32" s="4"/>
      <c r="AG32" s="4"/>
      <c r="AH32" s="4"/>
      <c r="AI32" s="4"/>
    </row>
    <row r="33" spans="1:35" x14ac:dyDescent="0.25">
      <c r="A33" s="78"/>
      <c r="B33" s="128"/>
      <c r="G33" s="79"/>
      <c r="U33" s="4"/>
      <c r="V33" s="4"/>
      <c r="W33" s="4"/>
      <c r="X33" s="4"/>
      <c r="Y33" s="4"/>
      <c r="Z33" s="4"/>
      <c r="AA33" s="4"/>
      <c r="AB33" s="4"/>
      <c r="AC33" s="4"/>
      <c r="AD33" s="4"/>
      <c r="AE33" s="4"/>
      <c r="AF33" s="4"/>
      <c r="AG33" s="4"/>
      <c r="AH33" s="4"/>
      <c r="AI33" s="4"/>
    </row>
    <row r="34" spans="1:35" x14ac:dyDescent="0.25">
      <c r="A34" s="78"/>
      <c r="B34" s="128"/>
      <c r="G34" s="79"/>
    </row>
    <row r="35" spans="1:35" x14ac:dyDescent="0.25">
      <c r="A35" s="78"/>
      <c r="B35" s="128"/>
      <c r="G35" s="79"/>
    </row>
    <row r="36" spans="1:35" x14ac:dyDescent="0.25">
      <c r="A36" s="78"/>
      <c r="B36" s="128"/>
      <c r="G36" s="79"/>
    </row>
    <row r="37" spans="1:35" x14ac:dyDescent="0.25">
      <c r="A37" s="78"/>
      <c r="B37" s="128"/>
      <c r="G37" s="79"/>
    </row>
    <row r="38" spans="1:35" x14ac:dyDescent="0.25">
      <c r="A38" s="78"/>
      <c r="B38" s="128"/>
      <c r="G38" s="79"/>
    </row>
    <row r="39" spans="1:35" x14ac:dyDescent="0.25">
      <c r="A39" s="78"/>
      <c r="B39" s="128"/>
      <c r="G39" s="79"/>
    </row>
    <row r="40" spans="1:35" x14ac:dyDescent="0.25">
      <c r="A40" s="78"/>
      <c r="B40" s="128"/>
      <c r="G40" s="79"/>
    </row>
    <row r="41" spans="1:35" x14ac:dyDescent="0.25">
      <c r="A41" s="78"/>
      <c r="B41" s="128"/>
      <c r="G41" s="79"/>
    </row>
    <row r="42" spans="1:35" x14ac:dyDescent="0.25">
      <c r="A42" s="78"/>
      <c r="B42" s="128"/>
      <c r="G42" s="79"/>
    </row>
    <row r="43" spans="1:35" x14ac:dyDescent="0.25">
      <c r="A43" s="78"/>
      <c r="B43" s="128"/>
      <c r="G43" s="79"/>
    </row>
    <row r="44" spans="1:35" x14ac:dyDescent="0.25">
      <c r="A44" s="78"/>
      <c r="B44" s="128"/>
      <c r="G44" s="79"/>
    </row>
    <row r="45" spans="1:35" x14ac:dyDescent="0.25">
      <c r="A45" s="78"/>
      <c r="B45" s="128"/>
      <c r="G45" s="79"/>
    </row>
    <row r="46" spans="1:35" x14ac:dyDescent="0.25">
      <c r="A46" s="78"/>
      <c r="B46" s="128"/>
      <c r="G46" s="79"/>
    </row>
    <row r="47" spans="1:35" x14ac:dyDescent="0.25">
      <c r="A47" s="78"/>
      <c r="B47" s="128"/>
      <c r="G47" s="79"/>
    </row>
    <row r="48" spans="1:35" x14ac:dyDescent="0.25">
      <c r="A48" s="78"/>
      <c r="B48" s="128"/>
      <c r="G48" s="79"/>
    </row>
    <row r="49" spans="1:7" x14ac:dyDescent="0.25">
      <c r="A49" s="78"/>
      <c r="B49" s="128"/>
      <c r="G49" s="79"/>
    </row>
    <row r="50" spans="1:7" x14ac:dyDescent="0.25">
      <c r="A50" s="78"/>
      <c r="B50" s="128"/>
      <c r="G50" s="79"/>
    </row>
    <row r="51" spans="1:7" x14ac:dyDescent="0.25">
      <c r="A51" s="78"/>
      <c r="B51" s="128"/>
      <c r="G51" s="79"/>
    </row>
    <row r="52" spans="1:7" x14ac:dyDescent="0.25">
      <c r="A52" s="78"/>
      <c r="B52" s="128"/>
      <c r="G52" s="79"/>
    </row>
    <row r="53" spans="1:7" x14ac:dyDescent="0.25">
      <c r="A53" s="78"/>
      <c r="B53" s="128"/>
      <c r="G53" s="79"/>
    </row>
    <row r="54" spans="1:7" x14ac:dyDescent="0.25">
      <c r="A54" s="78"/>
      <c r="B54" s="128"/>
      <c r="G54" s="79"/>
    </row>
    <row r="55" spans="1:7" x14ac:dyDescent="0.25">
      <c r="A55" s="78"/>
      <c r="B55" s="128"/>
      <c r="G55" s="79"/>
    </row>
    <row r="56" spans="1:7" x14ac:dyDescent="0.25">
      <c r="A56" s="78"/>
      <c r="B56" s="128"/>
      <c r="G56" s="79"/>
    </row>
    <row r="57" spans="1:7" x14ac:dyDescent="0.25">
      <c r="A57" s="78"/>
      <c r="B57" s="128"/>
      <c r="G57" s="79"/>
    </row>
    <row r="58" spans="1:7" x14ac:dyDescent="0.25">
      <c r="A58" s="78"/>
      <c r="B58" s="128"/>
      <c r="G58" s="79"/>
    </row>
    <row r="59" spans="1:7" x14ac:dyDescent="0.25">
      <c r="A59" s="78"/>
      <c r="B59" s="128"/>
      <c r="G59" s="79"/>
    </row>
    <row r="60" spans="1:7" x14ac:dyDescent="0.25">
      <c r="A60" s="78"/>
      <c r="B60" s="128"/>
      <c r="G60" s="79"/>
    </row>
    <row r="61" spans="1:7" x14ac:dyDescent="0.25">
      <c r="A61" s="78"/>
      <c r="B61" s="128"/>
      <c r="G61" s="79"/>
    </row>
    <row r="62" spans="1:7" x14ac:dyDescent="0.25">
      <c r="A62" s="78"/>
      <c r="B62" s="128"/>
      <c r="G62" s="79"/>
    </row>
    <row r="63" spans="1:7" x14ac:dyDescent="0.25">
      <c r="A63" s="78"/>
      <c r="B63" s="128"/>
      <c r="G63" s="79"/>
    </row>
    <row r="64" spans="1:7" x14ac:dyDescent="0.25">
      <c r="A64" s="78"/>
      <c r="B64" s="128"/>
      <c r="G64" s="79"/>
    </row>
    <row r="65" spans="1:7" x14ac:dyDescent="0.25">
      <c r="A65" s="78"/>
      <c r="B65" s="128"/>
      <c r="G65" s="79"/>
    </row>
    <row r="66" spans="1:7" x14ac:dyDescent="0.25">
      <c r="A66" s="78"/>
      <c r="B66" s="128"/>
      <c r="G66" s="79"/>
    </row>
    <row r="67" spans="1:7" x14ac:dyDescent="0.25">
      <c r="A67" s="78"/>
      <c r="B67" s="128"/>
      <c r="G67" s="79"/>
    </row>
    <row r="68" spans="1:7" x14ac:dyDescent="0.25">
      <c r="A68" s="78"/>
      <c r="B68" s="128"/>
      <c r="G68" s="79"/>
    </row>
    <row r="69" spans="1:7" x14ac:dyDescent="0.25">
      <c r="A69" s="78"/>
      <c r="B69" s="128"/>
      <c r="G69" s="79"/>
    </row>
    <row r="70" spans="1:7" x14ac:dyDescent="0.25">
      <c r="A70" s="78"/>
      <c r="B70" s="128"/>
      <c r="G70" s="79"/>
    </row>
    <row r="71" spans="1:7" x14ac:dyDescent="0.25">
      <c r="A71" s="78"/>
      <c r="B71" s="128"/>
      <c r="G71" s="79"/>
    </row>
    <row r="72" spans="1:7" x14ac:dyDescent="0.25">
      <c r="A72" s="78"/>
      <c r="B72" s="128"/>
      <c r="G72" s="79"/>
    </row>
    <row r="73" spans="1:7" x14ac:dyDescent="0.25">
      <c r="A73" s="78"/>
      <c r="B73" s="128"/>
      <c r="G73" s="79"/>
    </row>
    <row r="74" spans="1:7" x14ac:dyDescent="0.25">
      <c r="A74" s="78"/>
      <c r="B74" s="128"/>
      <c r="G74" s="79"/>
    </row>
    <row r="75" spans="1:7" x14ac:dyDescent="0.25">
      <c r="A75" s="78"/>
      <c r="B75" s="128"/>
      <c r="G75" s="79"/>
    </row>
    <row r="76" spans="1:7" x14ac:dyDescent="0.25">
      <c r="A76" s="78"/>
      <c r="B76" s="128"/>
      <c r="G76" s="79"/>
    </row>
    <row r="77" spans="1:7" x14ac:dyDescent="0.25">
      <c r="A77" s="78"/>
      <c r="B77" s="128"/>
      <c r="G77" s="79"/>
    </row>
    <row r="78" spans="1:7" x14ac:dyDescent="0.25">
      <c r="A78" s="78"/>
      <c r="B78" s="128"/>
      <c r="G78" s="79"/>
    </row>
    <row r="79" spans="1:7" x14ac:dyDescent="0.25">
      <c r="A79" s="78"/>
      <c r="B79" s="128"/>
      <c r="G79" s="79"/>
    </row>
    <row r="80" spans="1:7" x14ac:dyDescent="0.25">
      <c r="A80" s="78"/>
      <c r="B80" s="128"/>
      <c r="G80" s="79"/>
    </row>
    <row r="81" spans="1:7" x14ac:dyDescent="0.25">
      <c r="A81" s="78"/>
      <c r="B81" s="128"/>
      <c r="G81" s="79"/>
    </row>
    <row r="82" spans="1:7" x14ac:dyDescent="0.25">
      <c r="A82" s="78"/>
      <c r="B82" s="128"/>
      <c r="G82" s="79"/>
    </row>
    <row r="83" spans="1:7" x14ac:dyDescent="0.25">
      <c r="A83" s="78"/>
      <c r="B83" s="128"/>
      <c r="G83" s="79"/>
    </row>
    <row r="84" spans="1:7" x14ac:dyDescent="0.25">
      <c r="A84" s="78"/>
      <c r="B84" s="128"/>
      <c r="G84" s="79"/>
    </row>
    <row r="85" spans="1:7" x14ac:dyDescent="0.25">
      <c r="A85" s="78"/>
      <c r="B85" s="128"/>
      <c r="G85" s="79"/>
    </row>
    <row r="86" spans="1:7" x14ac:dyDescent="0.25">
      <c r="A86" s="78"/>
      <c r="B86" s="128"/>
      <c r="G86" s="79"/>
    </row>
    <row r="87" spans="1:7" x14ac:dyDescent="0.25">
      <c r="A87" s="78"/>
      <c r="B87" s="128"/>
      <c r="G87" s="79"/>
    </row>
    <row r="88" spans="1:7" x14ac:dyDescent="0.25">
      <c r="A88" s="78"/>
      <c r="B88" s="128"/>
      <c r="G88" s="79"/>
    </row>
    <row r="89" spans="1:7" x14ac:dyDescent="0.25">
      <c r="A89" s="78"/>
      <c r="B89" s="128"/>
      <c r="G89" s="79"/>
    </row>
    <row r="90" spans="1:7" x14ac:dyDescent="0.25">
      <c r="A90" s="78"/>
      <c r="B90" s="128"/>
      <c r="G90" s="79"/>
    </row>
    <row r="91" spans="1:7" x14ac:dyDescent="0.25">
      <c r="A91" s="78"/>
      <c r="B91" s="128"/>
      <c r="G91" s="79"/>
    </row>
    <row r="92" spans="1:7" x14ac:dyDescent="0.25">
      <c r="A92" s="78"/>
      <c r="B92" s="128"/>
      <c r="G92" s="79"/>
    </row>
    <row r="93" spans="1:7" x14ac:dyDescent="0.25">
      <c r="A93" s="78"/>
      <c r="B93" s="128"/>
      <c r="G93" s="79"/>
    </row>
    <row r="94" spans="1:7" x14ac:dyDescent="0.25">
      <c r="A94" s="78"/>
      <c r="B94" s="128"/>
      <c r="G94" s="79"/>
    </row>
    <row r="95" spans="1:7" x14ac:dyDescent="0.25">
      <c r="A95" s="78"/>
      <c r="B95" s="128"/>
      <c r="G95" s="79"/>
    </row>
    <row r="96" spans="1:7" x14ac:dyDescent="0.25">
      <c r="A96" s="78"/>
      <c r="B96" s="128"/>
      <c r="G96" s="79"/>
    </row>
    <row r="97" spans="1:7" x14ac:dyDescent="0.25">
      <c r="A97" s="78"/>
      <c r="B97" s="128"/>
      <c r="G97" s="79"/>
    </row>
    <row r="98" spans="1:7" x14ac:dyDescent="0.25">
      <c r="A98" s="78"/>
      <c r="B98" s="128"/>
      <c r="G98" s="79"/>
    </row>
    <row r="99" spans="1:7" x14ac:dyDescent="0.25">
      <c r="A99" s="78"/>
      <c r="B99" s="128"/>
      <c r="G99" s="79"/>
    </row>
    <row r="100" spans="1:7" x14ac:dyDescent="0.25">
      <c r="A100" s="78"/>
      <c r="B100" s="128"/>
      <c r="G100" s="79"/>
    </row>
    <row r="101" spans="1:7" x14ac:dyDescent="0.25">
      <c r="A101" s="78"/>
      <c r="B101" s="128"/>
      <c r="G101" s="79"/>
    </row>
    <row r="102" spans="1:7" x14ac:dyDescent="0.25">
      <c r="A102" s="78"/>
      <c r="B102" s="128"/>
      <c r="G102" s="79"/>
    </row>
    <row r="103" spans="1:7" x14ac:dyDescent="0.25">
      <c r="A103" s="78"/>
      <c r="B103" s="128"/>
      <c r="G103" s="79"/>
    </row>
    <row r="104" spans="1:7" x14ac:dyDescent="0.25">
      <c r="A104" s="78"/>
      <c r="B104"/>
      <c r="G104" s="79"/>
    </row>
    <row r="105" spans="1:7" x14ac:dyDescent="0.25">
      <c r="A105" s="78"/>
      <c r="B105"/>
      <c r="G105" s="79"/>
    </row>
    <row r="106" spans="1:7" x14ac:dyDescent="0.25">
      <c r="A106" s="78"/>
      <c r="B106"/>
      <c r="G106" s="79"/>
    </row>
    <row r="107" spans="1:7" x14ac:dyDescent="0.25">
      <c r="A107" s="78"/>
      <c r="B107"/>
      <c r="G107" s="79"/>
    </row>
    <row r="108" spans="1:7" x14ac:dyDescent="0.25">
      <c r="A108" s="78"/>
      <c r="B108"/>
      <c r="G108" s="79"/>
    </row>
    <row r="109" spans="1:7" x14ac:dyDescent="0.25">
      <c r="A109" s="78"/>
      <c r="B109"/>
      <c r="G109" s="79"/>
    </row>
    <row r="110" spans="1:7" x14ac:dyDescent="0.25">
      <c r="A110" s="78"/>
      <c r="B110"/>
      <c r="G110" s="79"/>
    </row>
    <row r="111" spans="1:7" x14ac:dyDescent="0.25">
      <c r="A111" s="78"/>
      <c r="B111"/>
      <c r="G111" s="79"/>
    </row>
    <row r="112" spans="1:7" x14ac:dyDescent="0.25">
      <c r="A112" s="78"/>
      <c r="B112"/>
      <c r="G112" s="79"/>
    </row>
    <row r="113" spans="1:7" x14ac:dyDescent="0.25">
      <c r="A113" s="78"/>
      <c r="B113"/>
      <c r="G113" s="79"/>
    </row>
    <row r="114" spans="1:7" x14ac:dyDescent="0.25">
      <c r="A114" s="78"/>
      <c r="B114"/>
      <c r="G114" s="79"/>
    </row>
    <row r="115" spans="1:7" x14ac:dyDescent="0.25">
      <c r="A115" s="78"/>
      <c r="B115"/>
      <c r="G115" s="79"/>
    </row>
    <row r="116" spans="1:7" x14ac:dyDescent="0.25">
      <c r="A116" s="78"/>
      <c r="B116"/>
      <c r="G116" s="79"/>
    </row>
    <row r="117" spans="1:7" x14ac:dyDescent="0.25">
      <c r="A117" s="78"/>
      <c r="B117"/>
      <c r="G117" s="79"/>
    </row>
    <row r="118" spans="1:7" x14ac:dyDescent="0.25">
      <c r="A118" s="78"/>
      <c r="B118"/>
      <c r="G118" s="79"/>
    </row>
    <row r="119" spans="1:7" x14ac:dyDescent="0.25">
      <c r="A119" s="78"/>
      <c r="B119"/>
      <c r="G119" s="79"/>
    </row>
    <row r="120" spans="1:7" x14ac:dyDescent="0.25">
      <c r="A120" s="78"/>
      <c r="B120"/>
      <c r="G120" s="79"/>
    </row>
    <row r="121" spans="1:7" x14ac:dyDescent="0.25">
      <c r="A121" s="78"/>
      <c r="B121"/>
      <c r="G121" s="79"/>
    </row>
    <row r="122" spans="1:7" x14ac:dyDescent="0.25">
      <c r="A122" s="78"/>
      <c r="B122"/>
      <c r="G122" s="79"/>
    </row>
    <row r="123" spans="1:7" x14ac:dyDescent="0.25">
      <c r="A123" s="78"/>
      <c r="B123"/>
      <c r="G123" s="79"/>
    </row>
    <row r="124" spans="1:7" x14ac:dyDescent="0.25">
      <c r="A124" s="78"/>
      <c r="B124"/>
      <c r="G124" s="79"/>
    </row>
    <row r="125" spans="1:7" x14ac:dyDescent="0.25">
      <c r="A125" s="78"/>
      <c r="B125"/>
      <c r="G125" s="79"/>
    </row>
    <row r="126" spans="1:7" x14ac:dyDescent="0.25">
      <c r="A126" s="78"/>
      <c r="B126"/>
      <c r="G126" s="79"/>
    </row>
    <row r="127" spans="1:7" x14ac:dyDescent="0.25">
      <c r="A127" s="78"/>
      <c r="B127"/>
      <c r="G127" s="79"/>
    </row>
    <row r="128" spans="1:7" x14ac:dyDescent="0.25">
      <c r="A128" s="78"/>
      <c r="B128"/>
      <c r="G128" s="79"/>
    </row>
    <row r="129" spans="1:7" x14ac:dyDescent="0.25">
      <c r="A129" s="78"/>
      <c r="B129"/>
      <c r="G129" s="79"/>
    </row>
    <row r="130" spans="1:7" x14ac:dyDescent="0.25">
      <c r="A130" s="78"/>
      <c r="B130"/>
      <c r="G130" s="79"/>
    </row>
    <row r="131" spans="1:7" x14ac:dyDescent="0.25">
      <c r="A131" s="78"/>
      <c r="B131"/>
      <c r="G131" s="79"/>
    </row>
    <row r="132" spans="1:7" x14ac:dyDescent="0.25">
      <c r="A132" s="78"/>
      <c r="B132"/>
      <c r="G132" s="79"/>
    </row>
    <row r="133" spans="1:7" x14ac:dyDescent="0.25">
      <c r="A133" s="78"/>
      <c r="B133"/>
      <c r="G133" s="79"/>
    </row>
    <row r="134" spans="1:7" x14ac:dyDescent="0.25">
      <c r="A134" s="78"/>
      <c r="B134"/>
      <c r="G134" s="79"/>
    </row>
    <row r="135" spans="1:7" x14ac:dyDescent="0.25">
      <c r="A135" s="78"/>
      <c r="B135"/>
      <c r="G135" s="79"/>
    </row>
    <row r="136" spans="1:7" x14ac:dyDescent="0.25">
      <c r="A136" s="78"/>
      <c r="B136"/>
      <c r="G136" s="79"/>
    </row>
    <row r="137" spans="1:7" x14ac:dyDescent="0.25">
      <c r="A137" s="78"/>
      <c r="B137"/>
      <c r="G137" s="79"/>
    </row>
    <row r="138" spans="1:7" x14ac:dyDescent="0.25">
      <c r="A138" s="78"/>
      <c r="B138"/>
      <c r="G138" s="79"/>
    </row>
    <row r="139" spans="1:7" x14ac:dyDescent="0.25">
      <c r="A139" s="78"/>
      <c r="B139"/>
      <c r="G139" s="79"/>
    </row>
    <row r="140" spans="1:7" x14ac:dyDescent="0.25">
      <c r="A140" s="78"/>
      <c r="B140"/>
      <c r="G140" s="79"/>
    </row>
    <row r="141" spans="1:7" x14ac:dyDescent="0.25">
      <c r="A141" s="78"/>
      <c r="B141"/>
      <c r="G141" s="79"/>
    </row>
    <row r="142" spans="1:7" x14ac:dyDescent="0.25">
      <c r="A142" s="78"/>
      <c r="B142"/>
      <c r="G142" s="79"/>
    </row>
    <row r="143" spans="1:7" x14ac:dyDescent="0.25">
      <c r="A143" s="78"/>
      <c r="B143"/>
      <c r="G143" s="79"/>
    </row>
    <row r="144" spans="1:7" x14ac:dyDescent="0.25">
      <c r="A144" s="78"/>
      <c r="B144"/>
      <c r="G144" s="79"/>
    </row>
    <row r="145" spans="1:7" x14ac:dyDescent="0.25">
      <c r="A145" s="78"/>
      <c r="B145"/>
      <c r="G145" s="79"/>
    </row>
    <row r="146" spans="1:7" x14ac:dyDescent="0.25">
      <c r="A146" s="78"/>
      <c r="B146"/>
      <c r="G146" s="79"/>
    </row>
    <row r="147" spans="1:7" x14ac:dyDescent="0.25">
      <c r="A147" s="78"/>
      <c r="B147"/>
      <c r="G147" s="79"/>
    </row>
    <row r="148" spans="1:7" x14ac:dyDescent="0.25">
      <c r="A148" s="78"/>
      <c r="B148"/>
      <c r="G148" s="79"/>
    </row>
    <row r="149" spans="1:7" x14ac:dyDescent="0.25">
      <c r="A149" s="78"/>
      <c r="B149"/>
      <c r="G149" s="79"/>
    </row>
    <row r="150" spans="1:7" x14ac:dyDescent="0.25">
      <c r="A150" s="78"/>
      <c r="B150"/>
      <c r="G150" s="79"/>
    </row>
    <row r="151" spans="1:7" x14ac:dyDescent="0.25">
      <c r="A151" s="78"/>
      <c r="B151"/>
      <c r="G151" s="79"/>
    </row>
    <row r="152" spans="1:7" x14ac:dyDescent="0.25">
      <c r="A152" s="78"/>
      <c r="B152"/>
      <c r="G152" s="79"/>
    </row>
    <row r="153" spans="1:7" x14ac:dyDescent="0.25">
      <c r="A153" s="78"/>
      <c r="B153"/>
      <c r="G153" s="79"/>
    </row>
    <row r="154" spans="1:7" x14ac:dyDescent="0.25">
      <c r="A154" s="78"/>
      <c r="B154"/>
      <c r="G154" s="79"/>
    </row>
    <row r="155" spans="1:7" x14ac:dyDescent="0.25">
      <c r="A155" s="78"/>
      <c r="B155"/>
      <c r="G155" s="79"/>
    </row>
    <row r="156" spans="1:7" x14ac:dyDescent="0.25">
      <c r="A156" s="78"/>
      <c r="B156"/>
      <c r="G156" s="79"/>
    </row>
    <row r="157" spans="1:7" x14ac:dyDescent="0.25">
      <c r="A157" s="78"/>
      <c r="B157"/>
      <c r="G157" s="79"/>
    </row>
    <row r="158" spans="1:7" x14ac:dyDescent="0.25">
      <c r="A158" s="78"/>
      <c r="B158"/>
      <c r="G158" s="79"/>
    </row>
    <row r="159" spans="1:7" x14ac:dyDescent="0.25">
      <c r="A159" s="78"/>
      <c r="B159"/>
      <c r="G159" s="79"/>
    </row>
    <row r="160" spans="1:7" x14ac:dyDescent="0.25">
      <c r="A160" s="78"/>
      <c r="B160"/>
      <c r="G160" s="79"/>
    </row>
    <row r="161" spans="1:7" x14ac:dyDescent="0.25">
      <c r="A161" s="78"/>
      <c r="B161"/>
      <c r="G161" s="79"/>
    </row>
    <row r="162" spans="1:7" x14ac:dyDescent="0.25">
      <c r="A162" s="78"/>
      <c r="B162"/>
      <c r="G162" s="79"/>
    </row>
    <row r="163" spans="1:7" x14ac:dyDescent="0.25">
      <c r="A163" s="78"/>
      <c r="B163"/>
      <c r="G163" s="79"/>
    </row>
    <row r="164" spans="1:7" x14ac:dyDescent="0.25">
      <c r="A164" s="78"/>
      <c r="B164"/>
      <c r="G164" s="79"/>
    </row>
    <row r="165" spans="1:7" x14ac:dyDescent="0.25">
      <c r="A165" s="78"/>
      <c r="B165"/>
      <c r="G165" s="79"/>
    </row>
    <row r="166" spans="1:7" x14ac:dyDescent="0.25">
      <c r="A166" s="78"/>
      <c r="B166"/>
      <c r="G166" s="79"/>
    </row>
    <row r="167" spans="1:7" x14ac:dyDescent="0.25">
      <c r="A167" s="78"/>
      <c r="B167"/>
      <c r="G167" s="79"/>
    </row>
    <row r="168" spans="1:7" x14ac:dyDescent="0.25">
      <c r="A168" s="78"/>
      <c r="B168"/>
      <c r="G168" s="79"/>
    </row>
    <row r="169" spans="1:7" x14ac:dyDescent="0.25">
      <c r="A169" s="78"/>
      <c r="B169"/>
      <c r="G169" s="79"/>
    </row>
    <row r="170" spans="1:7" x14ac:dyDescent="0.25">
      <c r="A170" s="78"/>
      <c r="B170"/>
      <c r="G170" s="79"/>
    </row>
    <row r="171" spans="1:7" x14ac:dyDescent="0.25">
      <c r="A171" s="78"/>
      <c r="B171"/>
      <c r="G171" s="79"/>
    </row>
    <row r="172" spans="1:7" x14ac:dyDescent="0.25">
      <c r="A172" s="78"/>
      <c r="B172"/>
      <c r="G172" s="79"/>
    </row>
    <row r="173" spans="1:7" x14ac:dyDescent="0.25">
      <c r="A173" s="78"/>
      <c r="B173"/>
      <c r="G173" s="79"/>
    </row>
    <row r="174" spans="1:7" x14ac:dyDescent="0.25">
      <c r="A174" s="78"/>
      <c r="B174"/>
      <c r="G174" s="79"/>
    </row>
    <row r="175" spans="1:7" x14ac:dyDescent="0.25">
      <c r="A175" s="78"/>
      <c r="B175"/>
      <c r="G175" s="79"/>
    </row>
    <row r="176" spans="1:7" x14ac:dyDescent="0.25">
      <c r="A176" s="78"/>
      <c r="B176"/>
      <c r="G176" s="79"/>
    </row>
    <row r="177" spans="1:7" x14ac:dyDescent="0.25">
      <c r="A177" s="78"/>
      <c r="B177"/>
      <c r="G177" s="79"/>
    </row>
    <row r="178" spans="1:7" x14ac:dyDescent="0.25">
      <c r="A178" s="78"/>
      <c r="B178"/>
      <c r="G178" s="79"/>
    </row>
    <row r="179" spans="1:7" x14ac:dyDescent="0.25">
      <c r="A179" s="78"/>
      <c r="B179"/>
      <c r="G179" s="79"/>
    </row>
    <row r="180" spans="1:7" x14ac:dyDescent="0.25">
      <c r="A180" s="78"/>
      <c r="B180"/>
      <c r="G180" s="79"/>
    </row>
    <row r="181" spans="1:7" x14ac:dyDescent="0.25">
      <c r="A181" s="78"/>
      <c r="B181"/>
      <c r="G181" s="79"/>
    </row>
    <row r="182" spans="1:7" x14ac:dyDescent="0.25">
      <c r="A182" s="78"/>
      <c r="B182"/>
      <c r="G182" s="79"/>
    </row>
    <row r="183" spans="1:7" x14ac:dyDescent="0.25">
      <c r="A183" s="78"/>
      <c r="B183"/>
      <c r="G183" s="79"/>
    </row>
    <row r="184" spans="1:7" x14ac:dyDescent="0.25">
      <c r="A184" s="78"/>
      <c r="B184"/>
      <c r="G184" s="79"/>
    </row>
    <row r="185" spans="1:7" x14ac:dyDescent="0.25">
      <c r="A185" s="78"/>
      <c r="B185"/>
      <c r="G185" s="79"/>
    </row>
    <row r="186" spans="1:7" x14ac:dyDescent="0.25">
      <c r="A186" s="78"/>
      <c r="B186"/>
      <c r="G186" s="79"/>
    </row>
    <row r="187" spans="1:7" x14ac:dyDescent="0.25">
      <c r="A187" s="78"/>
      <c r="B187"/>
      <c r="G187" s="79"/>
    </row>
    <row r="188" spans="1:7" x14ac:dyDescent="0.25">
      <c r="A188" s="78"/>
      <c r="B188"/>
      <c r="G188" s="79"/>
    </row>
    <row r="189" spans="1:7" x14ac:dyDescent="0.25">
      <c r="A189" s="78"/>
      <c r="B189"/>
      <c r="G189" s="79"/>
    </row>
    <row r="190" spans="1:7" x14ac:dyDescent="0.25">
      <c r="A190" s="78"/>
      <c r="B190"/>
      <c r="G190" s="79"/>
    </row>
    <row r="191" spans="1:7" x14ac:dyDescent="0.25">
      <c r="A191" s="78"/>
      <c r="B191"/>
      <c r="G191" s="79"/>
    </row>
    <row r="192" spans="1:7" x14ac:dyDescent="0.25">
      <c r="A192" s="78"/>
      <c r="B192"/>
      <c r="G192" s="79"/>
    </row>
    <row r="193" spans="1:7" x14ac:dyDescent="0.25">
      <c r="A193" s="78"/>
      <c r="B193"/>
      <c r="G193" s="79"/>
    </row>
    <row r="194" spans="1:7" x14ac:dyDescent="0.25">
      <c r="A194" s="78"/>
      <c r="B194"/>
      <c r="G194" s="79"/>
    </row>
    <row r="195" spans="1:7" x14ac:dyDescent="0.25">
      <c r="A195" s="78"/>
      <c r="B195"/>
      <c r="G195" s="79"/>
    </row>
    <row r="196" spans="1:7" x14ac:dyDescent="0.25">
      <c r="A196" s="78"/>
      <c r="B196"/>
      <c r="G196" s="79"/>
    </row>
    <row r="197" spans="1:7" x14ac:dyDescent="0.25">
      <c r="A197" s="78"/>
      <c r="B197"/>
      <c r="G197" s="79"/>
    </row>
    <row r="198" spans="1:7" x14ac:dyDescent="0.25">
      <c r="A198" s="78"/>
      <c r="B198"/>
      <c r="G198" s="79"/>
    </row>
    <row r="199" spans="1:7" x14ac:dyDescent="0.25">
      <c r="A199" s="78"/>
      <c r="B199"/>
      <c r="G199" s="79"/>
    </row>
    <row r="200" spans="1:7" x14ac:dyDescent="0.25">
      <c r="A200" s="78"/>
      <c r="B200"/>
      <c r="G200" s="79"/>
    </row>
    <row r="201" spans="1:7" x14ac:dyDescent="0.25">
      <c r="A201" s="78"/>
      <c r="B201"/>
      <c r="G201" s="79"/>
    </row>
    <row r="202" spans="1:7" x14ac:dyDescent="0.25">
      <c r="A202" s="78"/>
      <c r="B202"/>
      <c r="G202" s="79"/>
    </row>
    <row r="203" spans="1:7" x14ac:dyDescent="0.25">
      <c r="A203" s="78"/>
      <c r="B203"/>
      <c r="G203" s="79"/>
    </row>
    <row r="204" spans="1:7" x14ac:dyDescent="0.25">
      <c r="A204" s="78"/>
      <c r="B204"/>
      <c r="G204" s="79"/>
    </row>
    <row r="205" spans="1:7" x14ac:dyDescent="0.25">
      <c r="A205" s="78"/>
      <c r="B205"/>
      <c r="G205" s="79"/>
    </row>
    <row r="206" spans="1:7" x14ac:dyDescent="0.25">
      <c r="A206" s="78"/>
      <c r="B206"/>
      <c r="G206" s="79"/>
    </row>
    <row r="207" spans="1:7" x14ac:dyDescent="0.25">
      <c r="A207" s="78"/>
      <c r="B207"/>
      <c r="G207" s="79"/>
    </row>
    <row r="208" spans="1:7" x14ac:dyDescent="0.25">
      <c r="A208" s="78"/>
      <c r="B208"/>
      <c r="G208" s="79"/>
    </row>
    <row r="209" spans="1:7" x14ac:dyDescent="0.25">
      <c r="A209" s="78"/>
      <c r="B209"/>
      <c r="G209" s="79"/>
    </row>
    <row r="210" spans="1:7" x14ac:dyDescent="0.25">
      <c r="A210" s="78"/>
      <c r="B210"/>
      <c r="G210" s="79"/>
    </row>
    <row r="211" spans="1:7" x14ac:dyDescent="0.25">
      <c r="A211" s="78"/>
      <c r="B211"/>
      <c r="G211" s="79"/>
    </row>
    <row r="212" spans="1:7" x14ac:dyDescent="0.25">
      <c r="A212" s="78"/>
      <c r="B212"/>
      <c r="G212" s="79"/>
    </row>
    <row r="213" spans="1:7" x14ac:dyDescent="0.25">
      <c r="A213" s="78"/>
      <c r="B213"/>
      <c r="G213" s="79"/>
    </row>
    <row r="214" spans="1:7" x14ac:dyDescent="0.25">
      <c r="A214" s="78"/>
      <c r="B214"/>
      <c r="G214" s="79"/>
    </row>
    <row r="215" spans="1:7" x14ac:dyDescent="0.25">
      <c r="A215" s="78"/>
      <c r="B215"/>
      <c r="G215" s="79"/>
    </row>
    <row r="216" spans="1:7" x14ac:dyDescent="0.25">
      <c r="A216" s="78"/>
      <c r="B216"/>
      <c r="G216" s="79"/>
    </row>
    <row r="217" spans="1:7" x14ac:dyDescent="0.25">
      <c r="A217" s="78"/>
      <c r="B217"/>
      <c r="G217" s="79"/>
    </row>
    <row r="218" spans="1:7" x14ac:dyDescent="0.25">
      <c r="A218" s="78"/>
      <c r="B218"/>
      <c r="G218" s="79"/>
    </row>
    <row r="219" spans="1:7" x14ac:dyDescent="0.25">
      <c r="A219" s="78"/>
      <c r="B219"/>
      <c r="G219" s="79"/>
    </row>
    <row r="220" spans="1:7" x14ac:dyDescent="0.25">
      <c r="A220" s="78"/>
      <c r="B220"/>
      <c r="G220" s="79"/>
    </row>
    <row r="221" spans="1:7" x14ac:dyDescent="0.25">
      <c r="A221" s="78"/>
      <c r="B221"/>
      <c r="G221" s="79"/>
    </row>
    <row r="222" spans="1:7" x14ac:dyDescent="0.25">
      <c r="A222" s="78"/>
      <c r="B222"/>
      <c r="G222" s="79"/>
    </row>
    <row r="223" spans="1:7" x14ac:dyDescent="0.25">
      <c r="A223" s="78"/>
      <c r="B223"/>
      <c r="G223" s="79"/>
    </row>
    <row r="224" spans="1:7" x14ac:dyDescent="0.25">
      <c r="A224" s="78"/>
      <c r="B224"/>
      <c r="G224" s="79"/>
    </row>
    <row r="225" spans="1:7" x14ac:dyDescent="0.25">
      <c r="A225" s="78"/>
      <c r="B225"/>
      <c r="G225" s="79"/>
    </row>
    <row r="226" spans="1:7" x14ac:dyDescent="0.25">
      <c r="A226" s="78"/>
      <c r="B226"/>
      <c r="G226" s="79"/>
    </row>
    <row r="227" spans="1:7" x14ac:dyDescent="0.25">
      <c r="A227" s="78"/>
      <c r="B227"/>
      <c r="G227" s="79"/>
    </row>
    <row r="228" spans="1:7" x14ac:dyDescent="0.25">
      <c r="A228" s="78"/>
      <c r="B228"/>
      <c r="G228" s="79"/>
    </row>
    <row r="229" spans="1:7" x14ac:dyDescent="0.25">
      <c r="A229" s="78"/>
      <c r="B229"/>
      <c r="G229" s="79"/>
    </row>
    <row r="230" spans="1:7" x14ac:dyDescent="0.25">
      <c r="A230" s="78"/>
      <c r="B230"/>
      <c r="G230" s="79"/>
    </row>
    <row r="231" spans="1:7" x14ac:dyDescent="0.25">
      <c r="A231" s="78"/>
      <c r="B231"/>
      <c r="G231" s="79"/>
    </row>
    <row r="232" spans="1:7" x14ac:dyDescent="0.25">
      <c r="A232" s="78"/>
      <c r="B232"/>
      <c r="G232" s="79"/>
    </row>
    <row r="233" spans="1:7" x14ac:dyDescent="0.25">
      <c r="A233" s="78"/>
      <c r="B233"/>
      <c r="G233" s="79"/>
    </row>
    <row r="234" spans="1:7" x14ac:dyDescent="0.25">
      <c r="A234" s="78"/>
      <c r="B234"/>
      <c r="G234" s="79"/>
    </row>
    <row r="235" spans="1:7" x14ac:dyDescent="0.25">
      <c r="A235" s="78"/>
      <c r="B235"/>
      <c r="G235" s="79"/>
    </row>
    <row r="236" spans="1:7" x14ac:dyDescent="0.25">
      <c r="A236" s="78"/>
      <c r="B236"/>
      <c r="G236" s="79"/>
    </row>
    <row r="237" spans="1:7" x14ac:dyDescent="0.25">
      <c r="A237" s="78"/>
      <c r="B237"/>
      <c r="G237" s="79"/>
    </row>
    <row r="238" spans="1:7" x14ac:dyDescent="0.25">
      <c r="A238" s="78"/>
      <c r="B238"/>
      <c r="G238" s="79"/>
    </row>
    <row r="239" spans="1:7" x14ac:dyDescent="0.25">
      <c r="A239" s="78"/>
      <c r="B239"/>
      <c r="G239" s="79"/>
    </row>
    <row r="240" spans="1:7" x14ac:dyDescent="0.25">
      <c r="A240" s="78"/>
      <c r="B240"/>
      <c r="G240" s="79"/>
    </row>
    <row r="241" spans="1:7" x14ac:dyDescent="0.25">
      <c r="A241" s="78"/>
      <c r="B241"/>
      <c r="G241" s="79"/>
    </row>
    <row r="242" spans="1:7" x14ac:dyDescent="0.25">
      <c r="A242" s="78"/>
      <c r="B242"/>
      <c r="G242" s="79"/>
    </row>
    <row r="243" spans="1:7" x14ac:dyDescent="0.25">
      <c r="A243" s="78"/>
      <c r="B243"/>
      <c r="G243" s="79"/>
    </row>
    <row r="244" spans="1:7" x14ac:dyDescent="0.25">
      <c r="A244" s="78"/>
      <c r="B244"/>
      <c r="G244" s="79"/>
    </row>
    <row r="245" spans="1:7" x14ac:dyDescent="0.25">
      <c r="A245" s="78"/>
      <c r="B245"/>
      <c r="G245" s="79"/>
    </row>
    <row r="246" spans="1:7" x14ac:dyDescent="0.25">
      <c r="A246" s="78"/>
      <c r="B246"/>
      <c r="G246" s="79"/>
    </row>
    <row r="247" spans="1:7" x14ac:dyDescent="0.25">
      <c r="A247" s="78"/>
      <c r="B247"/>
      <c r="G247" s="79"/>
    </row>
    <row r="248" spans="1:7" x14ac:dyDescent="0.25">
      <c r="A248" s="78"/>
      <c r="B248"/>
      <c r="G248" s="79"/>
    </row>
    <row r="249" spans="1:7" x14ac:dyDescent="0.25">
      <c r="A249" s="78"/>
      <c r="B249"/>
      <c r="G249" s="79"/>
    </row>
    <row r="250" spans="1:7" x14ac:dyDescent="0.25">
      <c r="A250" s="78"/>
      <c r="B250"/>
      <c r="G250" s="79"/>
    </row>
    <row r="251" spans="1:7" x14ac:dyDescent="0.25">
      <c r="A251" s="78"/>
      <c r="B251"/>
      <c r="G251" s="79"/>
    </row>
    <row r="252" spans="1:7" x14ac:dyDescent="0.25">
      <c r="A252" s="78"/>
      <c r="B252"/>
      <c r="G252" s="79"/>
    </row>
    <row r="253" spans="1:7" x14ac:dyDescent="0.25">
      <c r="A253" s="78"/>
      <c r="B253"/>
      <c r="G253" s="79"/>
    </row>
    <row r="254" spans="1:7" x14ac:dyDescent="0.25">
      <c r="A254" s="78"/>
      <c r="B254"/>
      <c r="G254" s="79"/>
    </row>
    <row r="255" spans="1:7" x14ac:dyDescent="0.25">
      <c r="A255" s="78"/>
      <c r="B255"/>
      <c r="G255" s="79"/>
    </row>
    <row r="256" spans="1:7" x14ac:dyDescent="0.25">
      <c r="A256" s="82"/>
      <c r="B256" s="308"/>
      <c r="C256" s="83"/>
      <c r="D256" s="83"/>
      <c r="E256" s="83"/>
      <c r="F256" s="83"/>
      <c r="G256" s="84"/>
    </row>
    <row r="257" spans="1:7" x14ac:dyDescent="0.25">
      <c r="B257" s="28"/>
    </row>
    <row r="258" spans="1:7" x14ac:dyDescent="0.25">
      <c r="A258" s="6"/>
      <c r="B258" s="6"/>
      <c r="C258" s="28"/>
      <c r="D258" s="28"/>
      <c r="E258" s="28"/>
      <c r="F258" s="28"/>
      <c r="G258" s="28"/>
    </row>
    <row r="259" spans="1:7" x14ac:dyDescent="0.25">
      <c r="A259" s="6"/>
      <c r="B259" s="6"/>
      <c r="C259" s="28"/>
      <c r="D259" s="28"/>
      <c r="E259" s="28"/>
      <c r="F259" s="28"/>
      <c r="G259" s="28"/>
    </row>
    <row r="260" spans="1:7" x14ac:dyDescent="0.25">
      <c r="A260" s="6"/>
      <c r="B260" s="6"/>
      <c r="C260" s="28"/>
      <c r="D260" s="28"/>
      <c r="E260" s="28"/>
      <c r="F260" s="28"/>
      <c r="G260" s="28"/>
    </row>
    <row r="261" spans="1:7" x14ac:dyDescent="0.25">
      <c r="A261" s="6"/>
      <c r="B261" s="6"/>
      <c r="C261" s="28"/>
      <c r="D261" s="28"/>
      <c r="E261" s="28"/>
      <c r="F261" s="28"/>
      <c r="G261" s="28"/>
    </row>
    <row r="262" spans="1:7" x14ac:dyDescent="0.25">
      <c r="A262" s="6"/>
      <c r="B262" s="6"/>
      <c r="C262" s="28"/>
      <c r="D262" s="28"/>
      <c r="E262" s="28"/>
      <c r="F262" s="28"/>
      <c r="G262" s="28"/>
    </row>
    <row r="263" spans="1:7" x14ac:dyDescent="0.25">
      <c r="A263" s="6"/>
      <c r="B263" s="6"/>
      <c r="C263" s="28"/>
      <c r="D263" s="28"/>
      <c r="E263" s="28"/>
      <c r="F263" s="28"/>
      <c r="G263" s="28"/>
    </row>
    <row r="264" spans="1:7" x14ac:dyDescent="0.25">
      <c r="A264" s="6"/>
      <c r="B264" s="6"/>
      <c r="C264" s="28"/>
      <c r="D264" s="28"/>
      <c r="E264" s="28"/>
      <c r="F264" s="28"/>
      <c r="G264" s="28"/>
    </row>
    <row r="265" spans="1:7" x14ac:dyDescent="0.25">
      <c r="A265" s="6"/>
      <c r="B265" s="6"/>
      <c r="C265" s="28"/>
      <c r="D265" s="28"/>
      <c r="E265" s="28"/>
      <c r="F265" s="28"/>
      <c r="G265" s="28"/>
    </row>
    <row r="266" spans="1:7" x14ac:dyDescent="0.25">
      <c r="A266" s="6"/>
      <c r="B266" s="6"/>
      <c r="C266" s="28"/>
      <c r="D266" s="28"/>
      <c r="E266" s="28"/>
      <c r="F266" s="28"/>
      <c r="G266" s="28"/>
    </row>
    <row r="267" spans="1:7" x14ac:dyDescent="0.25">
      <c r="A267" s="6"/>
      <c r="B267" s="6"/>
      <c r="C267" s="28"/>
      <c r="D267" s="28"/>
      <c r="E267" s="28"/>
      <c r="F267" s="28"/>
      <c r="G267" s="28"/>
    </row>
    <row r="268" spans="1:7" x14ac:dyDescent="0.25">
      <c r="A268" s="6"/>
      <c r="B268" s="6"/>
      <c r="C268" s="28"/>
      <c r="D268" s="28"/>
      <c r="E268" s="28"/>
      <c r="F268" s="28"/>
      <c r="G268" s="28"/>
    </row>
    <row r="269" spans="1:7" x14ac:dyDescent="0.25">
      <c r="A269" s="6"/>
      <c r="B269" s="6"/>
      <c r="C269" s="28"/>
      <c r="D269" s="28"/>
      <c r="E269" s="28"/>
      <c r="F269" s="28"/>
      <c r="G269" s="28"/>
    </row>
    <row r="270" spans="1:7" x14ac:dyDescent="0.25">
      <c r="A270" s="6"/>
      <c r="B270" s="6"/>
      <c r="C270" s="28"/>
      <c r="D270" s="28"/>
      <c r="E270" s="28"/>
      <c r="F270" s="28"/>
      <c r="G270" s="28"/>
    </row>
    <row r="271" spans="1:7" x14ac:dyDescent="0.25">
      <c r="A271" s="6"/>
      <c r="B271" s="6"/>
      <c r="C271" s="28"/>
      <c r="D271" s="28"/>
      <c r="E271" s="28"/>
      <c r="F271" s="28"/>
      <c r="G271" s="28"/>
    </row>
    <row r="272" spans="1:7" x14ac:dyDescent="0.25">
      <c r="A272" s="6"/>
      <c r="B272" s="6"/>
      <c r="C272" s="28"/>
      <c r="D272" s="28"/>
      <c r="E272" s="28"/>
      <c r="F272" s="28"/>
      <c r="G272" s="28"/>
    </row>
    <row r="273" spans="1:7" x14ac:dyDescent="0.25">
      <c r="A273" s="6"/>
      <c r="B273" s="6"/>
      <c r="C273" s="28"/>
      <c r="D273" s="28"/>
      <c r="E273" s="28"/>
      <c r="F273" s="28"/>
      <c r="G273" s="28"/>
    </row>
    <row r="274" spans="1:7" x14ac:dyDescent="0.25">
      <c r="A274" s="6"/>
      <c r="B274" s="6"/>
      <c r="C274" s="28"/>
      <c r="D274" s="28"/>
      <c r="E274" s="28"/>
      <c r="F274" s="28"/>
      <c r="G274" s="28"/>
    </row>
    <row r="275" spans="1:7" x14ac:dyDescent="0.25">
      <c r="A275" s="6"/>
      <c r="B275" s="6"/>
      <c r="C275" s="28"/>
      <c r="D275" s="28"/>
      <c r="E275" s="28"/>
      <c r="F275" s="28"/>
      <c r="G275" s="28"/>
    </row>
    <row r="276" spans="1:7" x14ac:dyDescent="0.25">
      <c r="A276" s="6"/>
      <c r="B276" s="6"/>
      <c r="C276" s="28"/>
      <c r="D276" s="28"/>
      <c r="E276" s="28"/>
      <c r="F276" s="28"/>
      <c r="G276" s="28"/>
    </row>
    <row r="277" spans="1:7" x14ac:dyDescent="0.25">
      <c r="A277" s="6"/>
      <c r="B277" s="6"/>
      <c r="C277" s="28"/>
      <c r="D277" s="28"/>
      <c r="E277" s="28"/>
      <c r="F277" s="28"/>
      <c r="G277" s="28"/>
    </row>
    <row r="278" spans="1:7" x14ac:dyDescent="0.25">
      <c r="A278" s="6"/>
      <c r="B278" s="6"/>
      <c r="C278" s="28"/>
      <c r="D278" s="28"/>
      <c r="E278" s="28"/>
      <c r="F278" s="28"/>
      <c r="G278" s="28"/>
    </row>
    <row r="279" spans="1:7" x14ac:dyDescent="0.25">
      <c r="A279" s="6"/>
      <c r="B279" s="6"/>
      <c r="C279" s="28"/>
      <c r="D279" s="28"/>
      <c r="E279" s="28"/>
      <c r="F279" s="28"/>
      <c r="G279" s="28"/>
    </row>
    <row r="280" spans="1:7" x14ac:dyDescent="0.25">
      <c r="A280" s="6"/>
      <c r="B280" s="6"/>
      <c r="C280" s="28"/>
      <c r="D280" s="28"/>
      <c r="E280" s="28"/>
      <c r="F280" s="28"/>
      <c r="G280" s="28"/>
    </row>
    <row r="281" spans="1:7" x14ac:dyDescent="0.25">
      <c r="A281" s="6"/>
      <c r="B281" s="6"/>
      <c r="C281" s="28"/>
      <c r="D281" s="28"/>
      <c r="E281" s="28"/>
      <c r="F281" s="28"/>
      <c r="G281" s="28"/>
    </row>
    <row r="282" spans="1:7" x14ac:dyDescent="0.25">
      <c r="A282" s="6"/>
      <c r="B282" s="6"/>
      <c r="C282" s="28"/>
      <c r="D282" s="28"/>
      <c r="E282" s="28"/>
      <c r="F282" s="28"/>
      <c r="G282" s="28"/>
    </row>
    <row r="283" spans="1:7" x14ac:dyDescent="0.25">
      <c r="A283" s="6"/>
      <c r="B283" s="6"/>
      <c r="C283" s="28"/>
      <c r="D283" s="28"/>
      <c r="E283" s="28"/>
      <c r="F283" s="28"/>
      <c r="G283" s="28"/>
    </row>
    <row r="284" spans="1:7" x14ac:dyDescent="0.25">
      <c r="A284" s="6"/>
      <c r="B284" s="6"/>
      <c r="C284" s="28"/>
      <c r="D284" s="28"/>
      <c r="E284" s="28"/>
      <c r="F284" s="28"/>
      <c r="G284" s="28"/>
    </row>
    <row r="285" spans="1:7" x14ac:dyDescent="0.25">
      <c r="A285" s="6"/>
      <c r="B285" s="6"/>
      <c r="C285" s="28"/>
      <c r="D285" s="28"/>
      <c r="E285" s="28"/>
      <c r="F285" s="28"/>
      <c r="G285" s="28"/>
    </row>
    <row r="286" spans="1:7" x14ac:dyDescent="0.25">
      <c r="A286" s="6"/>
      <c r="B286" s="6"/>
      <c r="C286" s="28"/>
      <c r="D286" s="28"/>
      <c r="E286" s="28"/>
      <c r="F286" s="28"/>
      <c r="G286" s="28"/>
    </row>
    <row r="287" spans="1:7" x14ac:dyDescent="0.25">
      <c r="A287" s="6"/>
      <c r="B287" s="6"/>
      <c r="C287" s="28"/>
      <c r="D287" s="28"/>
      <c r="E287" s="28"/>
      <c r="F287" s="28"/>
      <c r="G287" s="28"/>
    </row>
    <row r="288" spans="1:7" x14ac:dyDescent="0.25">
      <c r="A288" s="6"/>
      <c r="B288" s="6"/>
      <c r="C288" s="28"/>
      <c r="D288" s="28"/>
      <c r="E288" s="28"/>
      <c r="F288" s="28"/>
      <c r="G288" s="28"/>
    </row>
    <row r="289" spans="1:7" x14ac:dyDescent="0.25">
      <c r="A289" s="6"/>
      <c r="B289" s="6"/>
      <c r="C289" s="28"/>
      <c r="D289" s="28"/>
      <c r="E289" s="28"/>
      <c r="F289" s="28"/>
      <c r="G289" s="28"/>
    </row>
    <row r="290" spans="1:7" x14ac:dyDescent="0.25">
      <c r="A290" s="6"/>
      <c r="B290" s="6"/>
      <c r="C290" s="28"/>
      <c r="D290" s="28"/>
      <c r="E290" s="28"/>
      <c r="F290" s="28"/>
      <c r="G290" s="28"/>
    </row>
    <row r="291" spans="1:7" x14ac:dyDescent="0.25">
      <c r="A291" s="6"/>
      <c r="B291" s="6"/>
      <c r="C291" s="28"/>
      <c r="D291" s="28"/>
      <c r="E291" s="28"/>
      <c r="F291" s="28"/>
      <c r="G291" s="28"/>
    </row>
    <row r="292" spans="1:7" x14ac:dyDescent="0.25">
      <c r="A292" s="6"/>
      <c r="B292" s="6"/>
      <c r="C292" s="28"/>
      <c r="D292" s="28"/>
      <c r="E292" s="28"/>
      <c r="F292" s="28"/>
      <c r="G292" s="28"/>
    </row>
    <row r="293" spans="1:7" x14ac:dyDescent="0.25">
      <c r="A293" s="6"/>
      <c r="B293" s="6"/>
      <c r="C293" s="28"/>
      <c r="D293" s="28"/>
      <c r="E293" s="28"/>
      <c r="F293" s="28"/>
      <c r="G293" s="28"/>
    </row>
    <row r="294" spans="1:7" x14ac:dyDescent="0.25">
      <c r="A294" s="6"/>
      <c r="B294" s="6"/>
      <c r="C294" s="28"/>
      <c r="D294" s="28"/>
      <c r="E294" s="28"/>
      <c r="F294" s="28"/>
      <c r="G294" s="28"/>
    </row>
    <row r="295" spans="1:7" x14ac:dyDescent="0.25">
      <c r="A295" s="6"/>
      <c r="B295" s="6"/>
      <c r="C295" s="28"/>
      <c r="D295" s="28"/>
      <c r="E295" s="28"/>
      <c r="F295" s="28"/>
      <c r="G295" s="28"/>
    </row>
    <row r="296" spans="1:7" x14ac:dyDescent="0.25">
      <c r="A296" s="6"/>
      <c r="B296" s="6"/>
      <c r="C296" s="28"/>
      <c r="D296" s="28"/>
      <c r="E296" s="28"/>
      <c r="F296" s="28"/>
      <c r="G296" s="28"/>
    </row>
    <row r="297" spans="1:7" x14ac:dyDescent="0.25">
      <c r="A297" s="6"/>
      <c r="B297" s="6"/>
      <c r="C297" s="28"/>
      <c r="D297" s="28"/>
      <c r="E297" s="28"/>
      <c r="F297" s="28"/>
      <c r="G297" s="28"/>
    </row>
    <row r="298" spans="1:7" x14ac:dyDescent="0.25">
      <c r="A298" s="6"/>
      <c r="B298" s="6"/>
      <c r="C298" s="28"/>
      <c r="D298" s="28"/>
      <c r="E298" s="28"/>
      <c r="F298" s="28"/>
      <c r="G298" s="28"/>
    </row>
    <row r="299" spans="1:7" x14ac:dyDescent="0.25">
      <c r="A299" s="6"/>
      <c r="B299" s="6"/>
      <c r="C299" s="28"/>
      <c r="D299" s="28"/>
      <c r="E299" s="28"/>
      <c r="F299" s="28"/>
      <c r="G299" s="28"/>
    </row>
    <row r="300" spans="1:7" x14ac:dyDescent="0.25">
      <c r="A300" s="6"/>
      <c r="B300" s="6"/>
      <c r="C300" s="28"/>
      <c r="D300" s="28"/>
      <c r="E300" s="28"/>
      <c r="F300" s="28"/>
      <c r="G300" s="28"/>
    </row>
    <row r="301" spans="1:7" x14ac:dyDescent="0.25">
      <c r="A301" s="6"/>
      <c r="B301" s="6"/>
      <c r="C301" s="28"/>
      <c r="D301" s="28"/>
      <c r="E301" s="28"/>
      <c r="F301" s="28"/>
      <c r="G301" s="28"/>
    </row>
    <row r="302" spans="1:7" x14ac:dyDescent="0.25">
      <c r="A302" s="6"/>
      <c r="B302" s="6"/>
      <c r="C302" s="28"/>
      <c r="D302" s="28"/>
      <c r="E302" s="28"/>
      <c r="F302" s="28"/>
      <c r="G302" s="28"/>
    </row>
    <row r="303" spans="1:7" x14ac:dyDescent="0.25">
      <c r="A303" s="6"/>
      <c r="B303" s="6"/>
      <c r="C303" s="28"/>
      <c r="D303" s="28"/>
      <c r="E303" s="28"/>
      <c r="F303" s="28"/>
      <c r="G303" s="28"/>
    </row>
    <row r="304" spans="1:7" x14ac:dyDescent="0.25">
      <c r="A304" s="6"/>
      <c r="B304" s="6"/>
      <c r="C304" s="28"/>
      <c r="D304" s="28"/>
      <c r="E304" s="28"/>
      <c r="F304" s="28"/>
      <c r="G304" s="28"/>
    </row>
    <row r="305" spans="1:7" x14ac:dyDescent="0.25">
      <c r="A305" s="6"/>
      <c r="B305" s="6"/>
      <c r="C305" s="28"/>
      <c r="D305" s="28"/>
      <c r="E305" s="28"/>
      <c r="F305" s="28"/>
      <c r="G305" s="28"/>
    </row>
    <row r="306" spans="1:7" x14ac:dyDescent="0.25">
      <c r="A306" s="6"/>
      <c r="B306" s="6"/>
      <c r="C306" s="28"/>
      <c r="D306" s="28"/>
      <c r="E306" s="28"/>
      <c r="F306" s="28"/>
      <c r="G306" s="28"/>
    </row>
    <row r="307" spans="1:7" x14ac:dyDescent="0.25">
      <c r="A307" s="6"/>
      <c r="B307" s="6"/>
      <c r="C307" s="28"/>
      <c r="D307" s="28"/>
      <c r="E307" s="28"/>
      <c r="F307" s="28"/>
      <c r="G307" s="28"/>
    </row>
    <row r="308" spans="1:7" x14ac:dyDescent="0.25">
      <c r="A308" s="6"/>
      <c r="B308" s="6"/>
      <c r="C308" s="28"/>
      <c r="D308" s="28"/>
      <c r="E308" s="28"/>
      <c r="F308" s="28"/>
      <c r="G308" s="28"/>
    </row>
    <row r="309" spans="1:7" x14ac:dyDescent="0.25">
      <c r="A309" s="6"/>
      <c r="B309" s="6"/>
      <c r="C309" s="28"/>
      <c r="D309" s="28"/>
      <c r="E309" s="28"/>
      <c r="F309" s="28"/>
      <c r="G309" s="28"/>
    </row>
    <row r="310" spans="1:7" x14ac:dyDescent="0.25">
      <c r="A310" s="6"/>
      <c r="B310" s="6"/>
      <c r="C310" s="28"/>
      <c r="D310" s="28"/>
      <c r="E310" s="28"/>
      <c r="F310" s="28"/>
      <c r="G310" s="28"/>
    </row>
    <row r="311" spans="1:7" x14ac:dyDescent="0.25">
      <c r="A311" s="6"/>
      <c r="B311" s="6"/>
      <c r="C311" s="28"/>
      <c r="D311" s="28"/>
      <c r="E311" s="28"/>
      <c r="F311" s="28"/>
      <c r="G311" s="28"/>
    </row>
    <row r="312" spans="1:7" x14ac:dyDescent="0.25">
      <c r="A312" s="6"/>
      <c r="B312" s="6"/>
      <c r="C312" s="28"/>
      <c r="D312" s="28"/>
      <c r="E312" s="28"/>
      <c r="F312" s="28"/>
      <c r="G312" s="28"/>
    </row>
    <row r="313" spans="1:7" x14ac:dyDescent="0.25">
      <c r="A313" s="6"/>
      <c r="B313" s="6"/>
      <c r="C313" s="28"/>
      <c r="D313" s="28"/>
      <c r="E313" s="28"/>
      <c r="F313" s="28"/>
      <c r="G313" s="28"/>
    </row>
    <row r="314" spans="1:7" x14ac:dyDescent="0.25">
      <c r="A314" s="6"/>
      <c r="B314" s="6"/>
      <c r="C314" s="28"/>
      <c r="D314" s="28"/>
      <c r="E314" s="28"/>
      <c r="F314" s="28"/>
      <c r="G314" s="28"/>
    </row>
    <row r="315" spans="1:7" x14ac:dyDescent="0.25">
      <c r="A315" s="6"/>
      <c r="B315" s="6"/>
      <c r="C315" s="28"/>
      <c r="D315" s="28"/>
      <c r="E315" s="28"/>
      <c r="F315" s="28"/>
      <c r="G315" s="28"/>
    </row>
    <row r="316" spans="1:7" x14ac:dyDescent="0.25">
      <c r="A316" s="6"/>
      <c r="B316" s="6"/>
      <c r="C316" s="28"/>
      <c r="D316" s="28"/>
      <c r="E316" s="28"/>
      <c r="F316" s="28"/>
      <c r="G316" s="28"/>
    </row>
    <row r="317" spans="1:7" x14ac:dyDescent="0.25">
      <c r="A317" s="6"/>
      <c r="B317" s="6"/>
      <c r="C317" s="28"/>
      <c r="D317" s="28"/>
      <c r="E317" s="28"/>
      <c r="F317" s="28"/>
      <c r="G317" s="28"/>
    </row>
    <row r="318" spans="1:7" x14ac:dyDescent="0.25">
      <c r="A318" s="6"/>
      <c r="B318" s="6"/>
      <c r="C318" s="28"/>
      <c r="D318" s="28"/>
      <c r="E318" s="28"/>
      <c r="F318" s="28"/>
      <c r="G318" s="28"/>
    </row>
    <row r="319" spans="1:7" x14ac:dyDescent="0.25">
      <c r="A319" s="6"/>
      <c r="B319" s="6"/>
      <c r="C319" s="28"/>
      <c r="D319" s="28"/>
      <c r="E319" s="28"/>
      <c r="F319" s="28"/>
      <c r="G319" s="28"/>
    </row>
    <row r="320" spans="1:7" x14ac:dyDescent="0.25">
      <c r="A320" s="6"/>
      <c r="B320" s="6"/>
      <c r="C320" s="28"/>
      <c r="D320" s="28"/>
      <c r="E320" s="28"/>
      <c r="F320" s="28"/>
      <c r="G320" s="28"/>
    </row>
    <row r="321" spans="1:7" x14ac:dyDescent="0.25">
      <c r="A321" s="6"/>
      <c r="B321" s="6"/>
      <c r="C321" s="28"/>
      <c r="D321" s="28"/>
      <c r="E321" s="28"/>
      <c r="F321" s="28"/>
      <c r="G321" s="28"/>
    </row>
    <row r="322" spans="1:7" x14ac:dyDescent="0.25">
      <c r="A322" s="6"/>
      <c r="B322" s="6"/>
      <c r="C322" s="28"/>
      <c r="D322" s="28"/>
      <c r="E322" s="28"/>
      <c r="F322" s="28"/>
      <c r="G322" s="28"/>
    </row>
    <row r="323" spans="1:7" x14ac:dyDescent="0.25">
      <c r="A323" s="6"/>
      <c r="B323" s="6"/>
      <c r="C323" s="28"/>
      <c r="D323" s="28"/>
      <c r="E323" s="28"/>
      <c r="F323" s="28"/>
      <c r="G323" s="28"/>
    </row>
    <row r="324" spans="1:7" x14ac:dyDescent="0.25">
      <c r="A324" s="6"/>
      <c r="B324" s="6"/>
      <c r="C324" s="28"/>
      <c r="D324" s="28"/>
      <c r="E324" s="28"/>
      <c r="F324" s="28"/>
      <c r="G324" s="28"/>
    </row>
    <row r="325" spans="1:7" x14ac:dyDescent="0.25">
      <c r="A325" s="6"/>
      <c r="B325" s="6"/>
      <c r="C325" s="28"/>
      <c r="D325" s="28"/>
      <c r="E325" s="28"/>
      <c r="F325" s="28"/>
      <c r="G325" s="28"/>
    </row>
    <row r="326" spans="1:7" x14ac:dyDescent="0.25">
      <c r="A326" s="6"/>
      <c r="B326" s="6"/>
      <c r="C326" s="28"/>
      <c r="D326" s="28"/>
      <c r="E326" s="28"/>
      <c r="F326" s="28"/>
      <c r="G326" s="28"/>
    </row>
    <row r="327" spans="1:7" x14ac:dyDescent="0.25">
      <c r="A327" s="6"/>
      <c r="B327" s="6"/>
      <c r="C327" s="28"/>
      <c r="D327" s="28"/>
      <c r="E327" s="28"/>
      <c r="F327" s="28"/>
      <c r="G327" s="28"/>
    </row>
    <row r="328" spans="1:7" x14ac:dyDescent="0.25">
      <c r="A328" s="6"/>
      <c r="B328" s="6"/>
      <c r="C328" s="28"/>
      <c r="D328" s="28"/>
      <c r="E328" s="28"/>
      <c r="F328" s="28"/>
      <c r="G328" s="28"/>
    </row>
    <row r="329" spans="1:7" x14ac:dyDescent="0.25">
      <c r="A329" s="6"/>
      <c r="B329" s="6"/>
      <c r="C329" s="28"/>
      <c r="D329" s="28"/>
      <c r="E329" s="28"/>
      <c r="F329" s="28"/>
      <c r="G329" s="28"/>
    </row>
    <row r="330" spans="1:7" x14ac:dyDescent="0.25">
      <c r="A330" s="6"/>
      <c r="B330" s="6"/>
      <c r="C330" s="28"/>
      <c r="D330" s="28"/>
      <c r="E330" s="28"/>
      <c r="F330" s="28"/>
      <c r="G330" s="28"/>
    </row>
    <row r="331" spans="1:7" x14ac:dyDescent="0.25">
      <c r="A331" s="6"/>
      <c r="B331" s="6"/>
      <c r="C331" s="28"/>
      <c r="D331" s="28"/>
      <c r="E331" s="28"/>
      <c r="F331" s="28"/>
      <c r="G331" s="28"/>
    </row>
    <row r="332" spans="1:7" x14ac:dyDescent="0.25">
      <c r="A332" s="6"/>
      <c r="B332" s="6"/>
      <c r="C332" s="28"/>
      <c r="D332" s="28"/>
      <c r="E332" s="28"/>
      <c r="F332" s="28"/>
      <c r="G332" s="28"/>
    </row>
    <row r="333" spans="1:7" x14ac:dyDescent="0.25">
      <c r="A333" s="6"/>
      <c r="B333" s="6"/>
      <c r="C333" s="28"/>
      <c r="D333" s="28"/>
      <c r="E333" s="28"/>
      <c r="F333" s="28"/>
      <c r="G333" s="28"/>
    </row>
    <row r="334" spans="1:7" x14ac:dyDescent="0.25">
      <c r="A334" s="6"/>
      <c r="B334" s="6"/>
      <c r="C334" s="28"/>
      <c r="D334" s="28"/>
      <c r="E334" s="28"/>
      <c r="F334" s="28"/>
      <c r="G334" s="28"/>
    </row>
    <row r="335" spans="1:7" x14ac:dyDescent="0.25">
      <c r="A335" s="6"/>
      <c r="B335" s="6"/>
      <c r="C335" s="28"/>
      <c r="D335" s="28"/>
      <c r="E335" s="28"/>
      <c r="F335" s="28"/>
      <c r="G335" s="28"/>
    </row>
    <row r="336" spans="1:7" x14ac:dyDescent="0.25">
      <c r="A336" s="6"/>
      <c r="B336" s="6"/>
      <c r="C336" s="28"/>
      <c r="D336" s="28"/>
      <c r="E336" s="28"/>
      <c r="F336" s="28"/>
      <c r="G336" s="28"/>
    </row>
    <row r="337" spans="1:7" x14ac:dyDescent="0.25">
      <c r="A337" s="6"/>
      <c r="B337" s="6"/>
      <c r="C337" s="28"/>
      <c r="D337" s="28"/>
      <c r="E337" s="28"/>
      <c r="F337" s="28"/>
      <c r="G337" s="28"/>
    </row>
    <row r="338" spans="1:7" x14ac:dyDescent="0.25">
      <c r="A338" s="6"/>
      <c r="B338" s="6"/>
      <c r="C338" s="28"/>
      <c r="D338" s="28"/>
      <c r="E338" s="28"/>
      <c r="F338" s="28"/>
      <c r="G338" s="28"/>
    </row>
    <row r="339" spans="1:7" x14ac:dyDescent="0.25">
      <c r="A339" s="6"/>
      <c r="B339" s="6"/>
      <c r="C339" s="28"/>
      <c r="D339" s="28"/>
      <c r="E339" s="28"/>
      <c r="F339" s="28"/>
      <c r="G339" s="28"/>
    </row>
    <row r="340" spans="1:7" x14ac:dyDescent="0.25">
      <c r="A340" s="6"/>
      <c r="B340" s="6"/>
      <c r="C340" s="28"/>
      <c r="D340" s="28"/>
      <c r="E340" s="28"/>
      <c r="F340" s="28"/>
      <c r="G340" s="28"/>
    </row>
    <row r="341" spans="1:7" x14ac:dyDescent="0.25">
      <c r="A341" s="6"/>
      <c r="B341" s="6"/>
      <c r="C341" s="28"/>
      <c r="D341" s="28"/>
      <c r="E341" s="28"/>
      <c r="F341" s="28"/>
      <c r="G341" s="28"/>
    </row>
    <row r="342" spans="1:7" x14ac:dyDescent="0.25">
      <c r="A342" s="6"/>
      <c r="B342" s="6"/>
      <c r="C342" s="28"/>
      <c r="D342" s="28"/>
      <c r="E342" s="28"/>
      <c r="F342" s="28"/>
      <c r="G342" s="28"/>
    </row>
    <row r="343" spans="1:7" x14ac:dyDescent="0.25">
      <c r="A343" s="6"/>
      <c r="B343" s="6"/>
      <c r="C343" s="28"/>
      <c r="D343" s="28"/>
      <c r="E343" s="28"/>
      <c r="F343" s="28"/>
      <c r="G343" s="28"/>
    </row>
    <row r="344" spans="1:7" x14ac:dyDescent="0.25">
      <c r="A344" s="6"/>
      <c r="B344" s="6"/>
      <c r="C344" s="28"/>
      <c r="D344" s="28"/>
      <c r="E344" s="28"/>
      <c r="F344" s="28"/>
      <c r="G344" s="28"/>
    </row>
    <row r="345" spans="1:7" x14ac:dyDescent="0.25">
      <c r="A345" s="6"/>
      <c r="B345" s="6"/>
      <c r="C345" s="28"/>
      <c r="D345" s="28"/>
      <c r="E345" s="28"/>
      <c r="F345" s="28"/>
      <c r="G345" s="28"/>
    </row>
    <row r="346" spans="1:7" x14ac:dyDescent="0.25">
      <c r="A346" s="6"/>
      <c r="B346" s="6"/>
      <c r="C346" s="28"/>
      <c r="D346" s="28"/>
      <c r="E346" s="28"/>
      <c r="F346" s="28"/>
      <c r="G346" s="28"/>
    </row>
    <row r="347" spans="1:7" x14ac:dyDescent="0.25">
      <c r="A347" s="6"/>
      <c r="B347" s="6"/>
      <c r="C347" s="28"/>
      <c r="D347" s="28"/>
      <c r="E347" s="28"/>
      <c r="F347" s="28"/>
      <c r="G347" s="28"/>
    </row>
    <row r="348" spans="1:7" x14ac:dyDescent="0.25">
      <c r="A348" s="6"/>
      <c r="B348" s="6"/>
      <c r="C348" s="28"/>
      <c r="D348" s="28"/>
      <c r="E348" s="28"/>
      <c r="F348" s="28"/>
      <c r="G348" s="28"/>
    </row>
    <row r="349" spans="1:7" x14ac:dyDescent="0.25">
      <c r="A349" s="6"/>
      <c r="B349" s="6"/>
      <c r="C349" s="28"/>
      <c r="D349" s="28"/>
      <c r="E349" s="28"/>
      <c r="F349" s="28"/>
      <c r="G349" s="28"/>
    </row>
    <row r="350" spans="1:7" x14ac:dyDescent="0.25">
      <c r="A350" s="6"/>
      <c r="B350" s="6"/>
      <c r="C350" s="28"/>
      <c r="D350" s="28"/>
      <c r="E350" s="28"/>
      <c r="F350" s="28"/>
      <c r="G350" s="28"/>
    </row>
    <row r="351" spans="1:7" x14ac:dyDescent="0.25">
      <c r="A351" s="6"/>
      <c r="B351" s="6"/>
      <c r="C351" s="28"/>
      <c r="D351" s="28"/>
      <c r="E351" s="28"/>
      <c r="F351" s="28"/>
      <c r="G351" s="28"/>
    </row>
    <row r="352" spans="1:7" x14ac:dyDescent="0.25">
      <c r="A352" s="6"/>
      <c r="B352" s="6"/>
      <c r="C352" s="28"/>
      <c r="D352" s="28"/>
      <c r="E352" s="28"/>
      <c r="F352" s="28"/>
      <c r="G352" s="28"/>
    </row>
    <row r="353" spans="1:7" x14ac:dyDescent="0.25">
      <c r="A353" s="6"/>
      <c r="B353" s="6"/>
      <c r="C353" s="28"/>
      <c r="D353" s="28"/>
      <c r="E353" s="28"/>
      <c r="F353" s="28"/>
      <c r="G353" s="28"/>
    </row>
    <row r="354" spans="1:7" x14ac:dyDescent="0.25">
      <c r="A354" s="6"/>
      <c r="B354" s="6"/>
      <c r="C354" s="28"/>
      <c r="D354" s="28"/>
      <c r="E354" s="28"/>
      <c r="F354" s="28"/>
      <c r="G354" s="28"/>
    </row>
    <row r="355" spans="1:7" x14ac:dyDescent="0.25">
      <c r="A355" s="6"/>
      <c r="B355" s="6"/>
      <c r="C355" s="28"/>
      <c r="D355" s="28"/>
      <c r="E355" s="28"/>
      <c r="F355" s="28"/>
      <c r="G355" s="28"/>
    </row>
    <row r="356" spans="1:7" x14ac:dyDescent="0.25">
      <c r="A356" s="6"/>
      <c r="B356" s="6"/>
      <c r="C356" s="28"/>
      <c r="D356" s="28"/>
      <c r="E356" s="28"/>
      <c r="F356" s="28"/>
      <c r="G356" s="28"/>
    </row>
    <row r="357" spans="1:7" x14ac:dyDescent="0.25">
      <c r="A357" s="6"/>
      <c r="B357" s="6"/>
      <c r="C357" s="28"/>
      <c r="D357" s="28"/>
      <c r="E357" s="28"/>
      <c r="F357" s="28"/>
      <c r="G357" s="28"/>
    </row>
    <row r="358" spans="1:7" x14ac:dyDescent="0.25">
      <c r="A358" s="6"/>
      <c r="B358" s="6"/>
      <c r="C358" s="28"/>
      <c r="D358" s="28"/>
      <c r="E358" s="28"/>
      <c r="F358" s="28"/>
      <c r="G358" s="28"/>
    </row>
    <row r="359" spans="1:7" x14ac:dyDescent="0.25">
      <c r="A359" s="6"/>
      <c r="B359" s="6"/>
      <c r="C359" s="28"/>
      <c r="D359" s="28"/>
      <c r="E359" s="28"/>
      <c r="F359" s="28"/>
      <c r="G359" s="28"/>
    </row>
    <row r="360" spans="1:7" x14ac:dyDescent="0.25">
      <c r="A360" s="6"/>
      <c r="B360" s="6"/>
      <c r="C360" s="28"/>
      <c r="D360" s="28"/>
      <c r="E360" s="28"/>
      <c r="F360" s="28"/>
      <c r="G360" s="28"/>
    </row>
    <row r="361" spans="1:7" x14ac:dyDescent="0.25">
      <c r="A361" s="6"/>
      <c r="B361" s="6"/>
      <c r="C361" s="28"/>
      <c r="D361" s="28"/>
      <c r="E361" s="28"/>
      <c r="F361" s="28"/>
      <c r="G361" s="28"/>
    </row>
    <row r="362" spans="1:7" x14ac:dyDescent="0.25">
      <c r="A362" s="6"/>
      <c r="B362" s="6"/>
      <c r="C362" s="28"/>
      <c r="D362" s="28"/>
      <c r="E362" s="28"/>
      <c r="F362" s="28"/>
      <c r="G362" s="28"/>
    </row>
    <row r="363" spans="1:7" x14ac:dyDescent="0.25">
      <c r="A363" s="6"/>
      <c r="B363" s="6"/>
      <c r="C363" s="28"/>
      <c r="D363" s="28"/>
      <c r="E363" s="28"/>
      <c r="F363" s="28"/>
      <c r="G363" s="28"/>
    </row>
    <row r="364" spans="1:7" x14ac:dyDescent="0.25">
      <c r="A364" s="6"/>
      <c r="B364" s="6"/>
      <c r="C364" s="28"/>
      <c r="D364" s="28"/>
      <c r="E364" s="28"/>
      <c r="F364" s="28"/>
      <c r="G364" s="28"/>
    </row>
    <row r="365" spans="1:7" x14ac:dyDescent="0.25">
      <c r="A365" s="6"/>
      <c r="B365" s="6"/>
      <c r="C365" s="28"/>
      <c r="D365" s="28"/>
      <c r="E365" s="28"/>
      <c r="F365" s="28"/>
      <c r="G365" s="28"/>
    </row>
    <row r="366" spans="1:7" x14ac:dyDescent="0.25">
      <c r="A366" s="6"/>
      <c r="B366" s="6"/>
      <c r="C366" s="28"/>
      <c r="D366" s="28"/>
      <c r="E366" s="28"/>
      <c r="F366" s="28"/>
      <c r="G366" s="28"/>
    </row>
    <row r="367" spans="1:7" x14ac:dyDescent="0.25">
      <c r="A367" s="6"/>
      <c r="B367" s="6"/>
      <c r="C367" s="28"/>
      <c r="D367" s="28"/>
      <c r="E367" s="28"/>
      <c r="F367" s="28"/>
      <c r="G367" s="28"/>
    </row>
    <row r="368" spans="1:7" x14ac:dyDescent="0.25">
      <c r="A368" s="6"/>
      <c r="B368" s="6"/>
      <c r="C368" s="28"/>
      <c r="D368" s="28"/>
      <c r="E368" s="28"/>
      <c r="F368" s="28"/>
      <c r="G368" s="28"/>
    </row>
    <row r="369" spans="1:7" x14ac:dyDescent="0.25">
      <c r="A369" s="6"/>
      <c r="B369" s="6"/>
      <c r="C369" s="28"/>
      <c r="D369" s="28"/>
      <c r="E369" s="28"/>
      <c r="F369" s="28"/>
      <c r="G369" s="28"/>
    </row>
    <row r="370" spans="1:7" x14ac:dyDescent="0.25">
      <c r="A370" s="6"/>
      <c r="B370" s="6"/>
      <c r="C370" s="28"/>
      <c r="D370" s="28"/>
      <c r="E370" s="28"/>
      <c r="F370" s="28"/>
      <c r="G370" s="28"/>
    </row>
    <row r="371" spans="1:7" x14ac:dyDescent="0.25">
      <c r="A371" s="6"/>
      <c r="B371" s="6"/>
      <c r="C371" s="28"/>
      <c r="D371" s="28"/>
      <c r="E371" s="28"/>
      <c r="F371" s="28"/>
      <c r="G371" s="28"/>
    </row>
    <row r="372" spans="1:7" x14ac:dyDescent="0.25">
      <c r="A372" s="6"/>
      <c r="B372" s="6"/>
      <c r="C372" s="28"/>
      <c r="D372" s="28"/>
      <c r="E372" s="28"/>
      <c r="F372" s="28"/>
      <c r="G372" s="28"/>
    </row>
    <row r="373" spans="1:7" x14ac:dyDescent="0.25">
      <c r="A373" s="6"/>
      <c r="B373" s="6"/>
      <c r="C373" s="28"/>
      <c r="D373" s="28"/>
      <c r="E373" s="28"/>
      <c r="F373" s="28"/>
      <c r="G373" s="28"/>
    </row>
    <row r="374" spans="1:7" x14ac:dyDescent="0.25">
      <c r="A374" s="6"/>
      <c r="B374" s="6"/>
      <c r="C374" s="28"/>
      <c r="D374" s="28"/>
      <c r="E374" s="28"/>
      <c r="F374" s="28"/>
      <c r="G374" s="28"/>
    </row>
    <row r="375" spans="1:7" x14ac:dyDescent="0.25">
      <c r="A375" s="6"/>
      <c r="B375" s="6"/>
      <c r="C375" s="28"/>
      <c r="D375" s="28"/>
      <c r="E375" s="28"/>
      <c r="F375" s="28"/>
      <c r="G375" s="28"/>
    </row>
    <row r="376" spans="1:7" x14ac:dyDescent="0.25">
      <c r="A376" s="6"/>
      <c r="B376" s="6"/>
      <c r="C376" s="28"/>
      <c r="D376" s="28"/>
      <c r="E376" s="28"/>
      <c r="F376" s="28"/>
      <c r="G376" s="28"/>
    </row>
    <row r="377" spans="1:7" x14ac:dyDescent="0.25">
      <c r="A377" s="6"/>
      <c r="B377" s="6"/>
      <c r="C377" s="28"/>
      <c r="D377" s="28"/>
      <c r="E377" s="28"/>
      <c r="F377" s="28"/>
      <c r="G377" s="28"/>
    </row>
    <row r="378" spans="1:7" x14ac:dyDescent="0.25">
      <c r="A378" s="6"/>
      <c r="B378" s="6"/>
      <c r="C378" s="28"/>
      <c r="D378" s="28"/>
      <c r="E378" s="28"/>
      <c r="F378" s="28"/>
      <c r="G378" s="28"/>
    </row>
    <row r="379" spans="1:7" x14ac:dyDescent="0.25">
      <c r="A379" s="6"/>
      <c r="B379" s="6"/>
      <c r="C379" s="28"/>
      <c r="D379" s="28"/>
      <c r="E379" s="28"/>
      <c r="F379" s="28"/>
      <c r="G379" s="28"/>
    </row>
    <row r="380" spans="1:7" x14ac:dyDescent="0.25">
      <c r="A380" s="6"/>
      <c r="B380" s="6"/>
      <c r="C380" s="28"/>
      <c r="D380" s="28"/>
      <c r="E380" s="28"/>
      <c r="F380" s="28"/>
      <c r="G380" s="28"/>
    </row>
    <row r="381" spans="1:7" x14ac:dyDescent="0.25">
      <c r="A381" s="6"/>
      <c r="B381" s="6"/>
      <c r="C381" s="28"/>
      <c r="D381" s="28"/>
      <c r="E381" s="28"/>
      <c r="F381" s="28"/>
      <c r="G381" s="28"/>
    </row>
    <row r="382" spans="1:7" x14ac:dyDescent="0.25">
      <c r="A382" s="6"/>
      <c r="B382" s="6"/>
      <c r="C382" s="28"/>
      <c r="D382" s="28"/>
      <c r="E382" s="28"/>
      <c r="F382" s="28"/>
      <c r="G382" s="28"/>
    </row>
    <row r="383" spans="1:7" x14ac:dyDescent="0.25">
      <c r="A383" s="6"/>
      <c r="B383" s="6"/>
      <c r="C383" s="28"/>
      <c r="D383" s="28"/>
      <c r="E383" s="28"/>
      <c r="F383" s="28"/>
      <c r="G383" s="28"/>
    </row>
    <row r="384" spans="1:7" x14ac:dyDescent="0.25">
      <c r="A384" s="6"/>
      <c r="B384" s="6"/>
      <c r="C384" s="28"/>
      <c r="D384" s="28"/>
      <c r="E384" s="28"/>
      <c r="F384" s="28"/>
      <c r="G384" s="28"/>
    </row>
    <row r="385" spans="1:7" x14ac:dyDescent="0.25">
      <c r="A385" s="6"/>
      <c r="B385" s="6"/>
      <c r="C385" s="28"/>
      <c r="D385" s="28"/>
      <c r="E385" s="28"/>
      <c r="F385" s="28"/>
      <c r="G385" s="28"/>
    </row>
    <row r="386" spans="1:7" x14ac:dyDescent="0.25">
      <c r="A386" s="6"/>
      <c r="B386" s="6"/>
      <c r="C386" s="28"/>
      <c r="D386" s="28"/>
      <c r="E386" s="28"/>
      <c r="F386" s="28"/>
      <c r="G386" s="28"/>
    </row>
    <row r="387" spans="1:7" x14ac:dyDescent="0.25">
      <c r="A387" s="6"/>
      <c r="B387" s="6"/>
      <c r="C387" s="28"/>
      <c r="D387" s="28"/>
      <c r="E387" s="28"/>
      <c r="F387" s="28"/>
      <c r="G387" s="28"/>
    </row>
    <row r="388" spans="1:7" x14ac:dyDescent="0.25">
      <c r="A388" s="6"/>
      <c r="B388" s="6"/>
      <c r="C388" s="28"/>
      <c r="D388" s="28"/>
      <c r="E388" s="28"/>
      <c r="F388" s="28"/>
      <c r="G388" s="28"/>
    </row>
    <row r="389" spans="1:7" x14ac:dyDescent="0.25">
      <c r="A389" s="6"/>
      <c r="B389" s="6"/>
      <c r="C389" s="28"/>
      <c r="D389" s="28"/>
      <c r="E389" s="28"/>
      <c r="F389" s="28"/>
      <c r="G389" s="28"/>
    </row>
    <row r="390" spans="1:7" x14ac:dyDescent="0.25">
      <c r="A390" s="6"/>
      <c r="B390" s="6"/>
      <c r="C390" s="28"/>
      <c r="D390" s="28"/>
      <c r="E390" s="28"/>
      <c r="F390" s="28"/>
      <c r="G390" s="28"/>
    </row>
    <row r="391" spans="1:7" x14ac:dyDescent="0.25">
      <c r="A391" s="6"/>
      <c r="B391" s="6"/>
      <c r="C391" s="28"/>
      <c r="D391" s="28"/>
      <c r="E391" s="28"/>
      <c r="F391" s="28"/>
      <c r="G391" s="28"/>
    </row>
    <row r="392" spans="1:7" x14ac:dyDescent="0.25">
      <c r="A392" s="6"/>
      <c r="B392" s="6"/>
      <c r="C392" s="28"/>
      <c r="D392" s="28"/>
      <c r="E392" s="28"/>
      <c r="F392" s="28"/>
      <c r="G392" s="28"/>
    </row>
    <row r="393" spans="1:7" x14ac:dyDescent="0.25">
      <c r="A393" s="6"/>
      <c r="B393" s="6"/>
      <c r="C393" s="28"/>
      <c r="D393" s="28"/>
      <c r="E393" s="28"/>
      <c r="F393" s="28"/>
      <c r="G393" s="28"/>
    </row>
    <row r="394" spans="1:7" x14ac:dyDescent="0.25">
      <c r="A394" s="6"/>
      <c r="B394" s="6"/>
      <c r="C394" s="28"/>
      <c r="D394" s="28"/>
      <c r="E394" s="28"/>
      <c r="F394" s="28"/>
      <c r="G394" s="28"/>
    </row>
    <row r="395" spans="1:7" x14ac:dyDescent="0.25">
      <c r="A395" s="6"/>
      <c r="B395" s="6"/>
      <c r="C395" s="28"/>
      <c r="D395" s="28"/>
      <c r="E395" s="28"/>
      <c r="F395" s="28"/>
      <c r="G395" s="28"/>
    </row>
    <row r="396" spans="1:7" x14ac:dyDescent="0.25">
      <c r="A396" s="6"/>
      <c r="B396" s="6"/>
      <c r="C396" s="28"/>
      <c r="D396" s="28"/>
      <c r="E396" s="28"/>
      <c r="F396" s="28"/>
      <c r="G396" s="28"/>
    </row>
    <row r="397" spans="1:7" x14ac:dyDescent="0.25">
      <c r="A397" s="6"/>
      <c r="B397" s="6"/>
      <c r="C397" s="28"/>
      <c r="D397" s="28"/>
      <c r="E397" s="28"/>
      <c r="F397" s="28"/>
      <c r="G397" s="28"/>
    </row>
    <row r="398" spans="1:7" x14ac:dyDescent="0.25">
      <c r="A398" s="6"/>
      <c r="B398" s="6"/>
      <c r="C398" s="28"/>
      <c r="D398" s="28"/>
      <c r="E398" s="28"/>
      <c r="F398" s="28"/>
      <c r="G398" s="28"/>
    </row>
    <row r="399" spans="1:7" x14ac:dyDescent="0.25">
      <c r="A399" s="6"/>
      <c r="B399" s="6"/>
      <c r="C399" s="28"/>
      <c r="D399" s="28"/>
      <c r="E399" s="28"/>
      <c r="F399" s="28"/>
      <c r="G399" s="28"/>
    </row>
    <row r="400" spans="1:7" x14ac:dyDescent="0.25">
      <c r="A400" s="6"/>
      <c r="B400" s="6"/>
      <c r="C400" s="28"/>
      <c r="D400" s="28"/>
      <c r="E400" s="28"/>
      <c r="F400" s="28"/>
      <c r="G400" s="28"/>
    </row>
    <row r="401" spans="1:7" x14ac:dyDescent="0.25">
      <c r="A401" s="6"/>
      <c r="B401" s="6"/>
      <c r="C401" s="28"/>
      <c r="D401" s="28"/>
      <c r="E401" s="28"/>
      <c r="F401" s="28"/>
      <c r="G401" s="28"/>
    </row>
    <row r="402" spans="1:7" x14ac:dyDescent="0.25">
      <c r="A402" s="6"/>
      <c r="B402" s="6"/>
      <c r="C402" s="28"/>
      <c r="D402" s="28"/>
      <c r="E402" s="28"/>
      <c r="F402" s="28"/>
      <c r="G402" s="28"/>
    </row>
    <row r="403" spans="1:7" x14ac:dyDescent="0.25">
      <c r="A403" s="6"/>
      <c r="B403" s="6"/>
      <c r="C403" s="28"/>
      <c r="D403" s="28"/>
      <c r="E403" s="28"/>
      <c r="F403" s="28"/>
      <c r="G403" s="28"/>
    </row>
    <row r="404" spans="1:7" x14ac:dyDescent="0.25">
      <c r="A404" s="6"/>
      <c r="B404" s="6"/>
      <c r="C404" s="28"/>
      <c r="D404" s="28"/>
      <c r="E404" s="28"/>
      <c r="F404" s="28"/>
      <c r="G404" s="28"/>
    </row>
    <row r="405" spans="1:7" x14ac:dyDescent="0.25">
      <c r="A405" s="6"/>
      <c r="B405" s="6"/>
      <c r="C405" s="28"/>
      <c r="D405" s="28"/>
      <c r="E405" s="28"/>
      <c r="F405" s="28"/>
      <c r="G405" s="28"/>
    </row>
    <row r="406" spans="1:7" x14ac:dyDescent="0.25">
      <c r="A406" s="6"/>
      <c r="B406" s="6"/>
      <c r="C406" s="28"/>
      <c r="D406" s="28"/>
      <c r="E406" s="28"/>
      <c r="F406" s="28"/>
      <c r="G406" s="28"/>
    </row>
    <row r="407" spans="1:7" x14ac:dyDescent="0.25">
      <c r="A407" s="6"/>
      <c r="B407" s="6"/>
      <c r="C407" s="28"/>
      <c r="D407" s="28"/>
      <c r="E407" s="28"/>
      <c r="F407" s="28"/>
      <c r="G407" s="28"/>
    </row>
    <row r="408" spans="1:7" x14ac:dyDescent="0.25">
      <c r="A408" s="6"/>
      <c r="B408" s="6"/>
      <c r="C408" s="28"/>
      <c r="D408" s="28"/>
      <c r="E408" s="28"/>
      <c r="F408" s="28"/>
      <c r="G408" s="28"/>
    </row>
    <row r="409" spans="1:7" x14ac:dyDescent="0.25">
      <c r="A409" s="6"/>
      <c r="B409" s="6"/>
      <c r="C409" s="28"/>
      <c r="D409" s="28"/>
      <c r="E409" s="28"/>
      <c r="F409" s="28"/>
      <c r="G409" s="28"/>
    </row>
    <row r="410" spans="1:7" x14ac:dyDescent="0.25">
      <c r="A410" s="6"/>
      <c r="B410" s="6"/>
      <c r="C410" s="28"/>
      <c r="D410" s="28"/>
      <c r="E410" s="28"/>
      <c r="F410" s="28"/>
      <c r="G410" s="28"/>
    </row>
    <row r="411" spans="1:7" x14ac:dyDescent="0.25">
      <c r="A411" s="6"/>
      <c r="B411" s="6"/>
      <c r="C411" s="28"/>
      <c r="D411" s="28"/>
      <c r="E411" s="28"/>
      <c r="F411" s="28"/>
      <c r="G411" s="28"/>
    </row>
    <row r="412" spans="1:7" x14ac:dyDescent="0.25">
      <c r="A412" s="6"/>
      <c r="B412" s="6"/>
      <c r="C412" s="28"/>
      <c r="D412" s="28"/>
      <c r="E412" s="28"/>
      <c r="F412" s="28"/>
      <c r="G412" s="28"/>
    </row>
    <row r="413" spans="1:7" x14ac:dyDescent="0.25">
      <c r="A413" s="6"/>
      <c r="B413" s="6"/>
      <c r="C413" s="28"/>
      <c r="D413" s="28"/>
      <c r="E413" s="28"/>
      <c r="F413" s="28"/>
      <c r="G413" s="28"/>
    </row>
    <row r="414" spans="1:7" x14ac:dyDescent="0.25">
      <c r="A414" s="6"/>
      <c r="B414" s="6"/>
      <c r="C414" s="28"/>
      <c r="D414" s="28"/>
      <c r="E414" s="28"/>
      <c r="F414" s="28"/>
      <c r="G414" s="28"/>
    </row>
    <row r="415" spans="1:7" x14ac:dyDescent="0.25">
      <c r="A415" s="6"/>
      <c r="B415" s="6"/>
      <c r="C415" s="28"/>
      <c r="D415" s="28"/>
      <c r="E415" s="28"/>
      <c r="F415" s="28"/>
      <c r="G415" s="28"/>
    </row>
    <row r="416" spans="1:7" x14ac:dyDescent="0.25">
      <c r="A416" s="6"/>
      <c r="B416" s="6"/>
      <c r="C416" s="28"/>
      <c r="D416" s="28"/>
      <c r="E416" s="28"/>
      <c r="F416" s="28"/>
      <c r="G416" s="28"/>
    </row>
    <row r="417" spans="1:7" x14ac:dyDescent="0.25">
      <c r="A417" s="6"/>
      <c r="B417" s="6"/>
      <c r="C417" s="28"/>
      <c r="D417" s="28"/>
      <c r="E417" s="28"/>
      <c r="F417" s="28"/>
      <c r="G417" s="28"/>
    </row>
    <row r="418" spans="1:7" x14ac:dyDescent="0.25">
      <c r="A418" s="6"/>
      <c r="B418" s="6"/>
      <c r="C418" s="28"/>
      <c r="D418" s="28"/>
      <c r="E418" s="28"/>
      <c r="F418" s="28"/>
      <c r="G418" s="28"/>
    </row>
    <row r="419" spans="1:7" x14ac:dyDescent="0.25">
      <c r="A419" s="6"/>
      <c r="B419" s="6"/>
      <c r="C419" s="28"/>
      <c r="D419" s="28"/>
      <c r="E419" s="28"/>
      <c r="F419" s="28"/>
      <c r="G419" s="28"/>
    </row>
    <row r="420" spans="1:7" x14ac:dyDescent="0.25">
      <c r="A420" s="6"/>
      <c r="B420" s="6"/>
      <c r="C420" s="28"/>
      <c r="D420" s="28"/>
      <c r="E420" s="28"/>
      <c r="F420" s="28"/>
      <c r="G420" s="28"/>
    </row>
    <row r="421" spans="1:7" x14ac:dyDescent="0.25">
      <c r="A421" s="6"/>
      <c r="B421" s="6"/>
      <c r="C421" s="28"/>
      <c r="D421" s="28"/>
      <c r="E421" s="28"/>
      <c r="F421" s="28"/>
      <c r="G421" s="28"/>
    </row>
    <row r="422" spans="1:7" x14ac:dyDescent="0.25">
      <c r="A422" s="6"/>
      <c r="B422" s="6"/>
      <c r="C422" s="28"/>
      <c r="D422" s="28"/>
      <c r="E422" s="28"/>
      <c r="F422" s="28"/>
      <c r="G422" s="28"/>
    </row>
    <row r="423" spans="1:7" x14ac:dyDescent="0.25">
      <c r="A423" s="6"/>
      <c r="B423" s="6"/>
      <c r="C423" s="28"/>
      <c r="D423" s="28"/>
      <c r="E423" s="28"/>
      <c r="F423" s="28"/>
      <c r="G423" s="28"/>
    </row>
    <row r="424" spans="1:7" x14ac:dyDescent="0.25">
      <c r="A424" s="6"/>
      <c r="B424" s="6"/>
      <c r="C424" s="28"/>
      <c r="D424" s="28"/>
      <c r="E424" s="28"/>
      <c r="F424" s="28"/>
      <c r="G424" s="28"/>
    </row>
    <row r="425" spans="1:7" x14ac:dyDescent="0.25">
      <c r="A425" s="6"/>
      <c r="B425" s="6"/>
      <c r="C425" s="28"/>
      <c r="D425" s="28"/>
      <c r="E425" s="28"/>
      <c r="F425" s="28"/>
      <c r="G425" s="28"/>
    </row>
    <row r="426" spans="1:7" x14ac:dyDescent="0.25">
      <c r="A426" s="6"/>
      <c r="B426" s="6"/>
      <c r="C426" s="28"/>
      <c r="D426" s="28"/>
      <c r="E426" s="28"/>
      <c r="F426" s="28"/>
      <c r="G426" s="28"/>
    </row>
    <row r="427" spans="1:7" x14ac:dyDescent="0.25">
      <c r="A427" s="6"/>
      <c r="B427" s="6"/>
      <c r="C427" s="28"/>
      <c r="D427" s="28"/>
      <c r="E427" s="28"/>
      <c r="F427" s="28"/>
      <c r="G427" s="28"/>
    </row>
    <row r="428" spans="1:7" x14ac:dyDescent="0.25">
      <c r="A428" s="6"/>
      <c r="B428" s="6"/>
      <c r="C428" s="28"/>
      <c r="D428" s="28"/>
      <c r="E428" s="28"/>
      <c r="F428" s="28"/>
      <c r="G428" s="28"/>
    </row>
    <row r="429" spans="1:7" x14ac:dyDescent="0.25">
      <c r="A429" s="6"/>
      <c r="B429" s="6"/>
      <c r="C429" s="28"/>
      <c r="D429" s="28"/>
      <c r="E429" s="28"/>
      <c r="F429" s="28"/>
      <c r="G429" s="28"/>
    </row>
    <row r="430" spans="1:7" x14ac:dyDescent="0.25">
      <c r="A430" s="6"/>
      <c r="B430" s="6"/>
      <c r="C430" s="28"/>
      <c r="D430" s="28"/>
      <c r="E430" s="28"/>
      <c r="F430" s="28"/>
      <c r="G430" s="28"/>
    </row>
    <row r="431" spans="1:7" x14ac:dyDescent="0.25">
      <c r="A431" s="6"/>
      <c r="B431" s="6"/>
      <c r="C431" s="28"/>
      <c r="D431" s="28"/>
      <c r="E431" s="28"/>
      <c r="F431" s="28"/>
      <c r="G431" s="28"/>
    </row>
    <row r="432" spans="1:7" x14ac:dyDescent="0.25">
      <c r="A432" s="6"/>
      <c r="B432" s="6"/>
      <c r="C432" s="28"/>
      <c r="D432" s="28"/>
      <c r="E432" s="28"/>
      <c r="F432" s="28"/>
      <c r="G432" s="28"/>
    </row>
    <row r="433" spans="1:7" x14ac:dyDescent="0.25">
      <c r="A433" s="6"/>
      <c r="B433" s="6"/>
      <c r="C433" s="28"/>
      <c r="D433" s="28"/>
      <c r="E433" s="28"/>
      <c r="F433" s="28"/>
      <c r="G433" s="28"/>
    </row>
    <row r="434" spans="1:7" x14ac:dyDescent="0.25">
      <c r="A434" s="6"/>
      <c r="B434" s="6"/>
      <c r="C434" s="28"/>
      <c r="D434" s="28"/>
      <c r="E434" s="28"/>
      <c r="F434" s="28"/>
      <c r="G434" s="28"/>
    </row>
    <row r="435" spans="1:7" x14ac:dyDescent="0.25">
      <c r="A435" s="6"/>
      <c r="B435" s="6"/>
      <c r="C435" s="28"/>
      <c r="D435" s="28"/>
      <c r="E435" s="28"/>
      <c r="F435" s="28"/>
      <c r="G435" s="28"/>
    </row>
    <row r="436" spans="1:7" x14ac:dyDescent="0.25">
      <c r="A436" s="6"/>
      <c r="B436" s="6"/>
      <c r="C436" s="28"/>
      <c r="D436" s="28"/>
      <c r="E436" s="28"/>
      <c r="F436" s="28"/>
      <c r="G436" s="28"/>
    </row>
    <row r="437" spans="1:7" x14ac:dyDescent="0.25">
      <c r="A437" s="6"/>
      <c r="B437" s="6"/>
      <c r="C437" s="28"/>
      <c r="D437" s="28"/>
      <c r="E437" s="28"/>
      <c r="F437" s="28"/>
      <c r="G437" s="28"/>
    </row>
    <row r="438" spans="1:7" x14ac:dyDescent="0.25">
      <c r="A438" s="6"/>
      <c r="B438" s="6"/>
      <c r="C438" s="28"/>
      <c r="D438" s="28"/>
      <c r="E438" s="28"/>
      <c r="F438" s="28"/>
      <c r="G438" s="28"/>
    </row>
    <row r="439" spans="1:7" x14ac:dyDescent="0.25">
      <c r="A439" s="6"/>
      <c r="B439" s="6"/>
      <c r="C439" s="28"/>
      <c r="D439" s="28"/>
      <c r="E439" s="28"/>
      <c r="F439" s="28"/>
      <c r="G439" s="28"/>
    </row>
    <row r="440" spans="1:7" x14ac:dyDescent="0.25">
      <c r="A440" s="6"/>
      <c r="B440" s="6"/>
      <c r="C440" s="28"/>
      <c r="D440" s="28"/>
      <c r="E440" s="28"/>
      <c r="F440" s="28"/>
      <c r="G440" s="28"/>
    </row>
    <row r="441" spans="1:7" x14ac:dyDescent="0.25">
      <c r="A441" s="6"/>
      <c r="B441" s="6"/>
      <c r="C441" s="28"/>
      <c r="D441" s="28"/>
      <c r="E441" s="28"/>
      <c r="F441" s="28"/>
      <c r="G441" s="28"/>
    </row>
    <row r="442" spans="1:7" x14ac:dyDescent="0.25">
      <c r="A442" s="6"/>
      <c r="B442" s="6"/>
      <c r="C442" s="28"/>
      <c r="D442" s="28"/>
      <c r="E442" s="28"/>
      <c r="F442" s="28"/>
      <c r="G442" s="28"/>
    </row>
    <row r="443" spans="1:7" x14ac:dyDescent="0.25">
      <c r="A443" s="6"/>
      <c r="B443" s="6"/>
      <c r="C443" s="28"/>
      <c r="D443" s="28"/>
      <c r="E443" s="28"/>
      <c r="F443" s="28"/>
      <c r="G443" s="28"/>
    </row>
    <row r="444" spans="1:7" x14ac:dyDescent="0.25">
      <c r="A444" s="6"/>
      <c r="B444" s="6"/>
      <c r="C444" s="28"/>
      <c r="D444" s="28"/>
      <c r="E444" s="28"/>
      <c r="F444" s="28"/>
      <c r="G444" s="28"/>
    </row>
    <row r="445" spans="1:7" x14ac:dyDescent="0.25">
      <c r="A445" s="6"/>
      <c r="B445" s="6"/>
      <c r="C445" s="28"/>
      <c r="D445" s="28"/>
      <c r="E445" s="28"/>
      <c r="F445" s="28"/>
      <c r="G445" s="28"/>
    </row>
    <row r="446" spans="1:7" x14ac:dyDescent="0.25">
      <c r="A446" s="6"/>
      <c r="B446" s="6"/>
      <c r="C446" s="28"/>
      <c r="D446" s="28"/>
      <c r="E446" s="28"/>
      <c r="F446" s="28"/>
      <c r="G446" s="28"/>
    </row>
    <row r="447" spans="1:7" x14ac:dyDescent="0.25">
      <c r="A447" s="6"/>
      <c r="B447" s="6"/>
      <c r="C447" s="28"/>
      <c r="D447" s="28"/>
      <c r="E447" s="28"/>
      <c r="F447" s="28"/>
      <c r="G447" s="28"/>
    </row>
    <row r="448" spans="1:7" x14ac:dyDescent="0.25">
      <c r="A448" s="6"/>
      <c r="B448" s="6"/>
      <c r="C448" s="28"/>
      <c r="D448" s="28"/>
      <c r="E448" s="28"/>
      <c r="F448" s="28"/>
      <c r="G448" s="28"/>
    </row>
    <row r="449" spans="1:7" x14ac:dyDescent="0.25">
      <c r="A449" s="6"/>
      <c r="B449" s="6"/>
      <c r="C449" s="28"/>
      <c r="D449" s="28"/>
      <c r="E449" s="28"/>
      <c r="F449" s="28"/>
      <c r="G449" s="28"/>
    </row>
    <row r="450" spans="1:7" x14ac:dyDescent="0.25">
      <c r="A450" s="6"/>
      <c r="B450" s="6"/>
      <c r="C450" s="28"/>
      <c r="D450" s="28"/>
      <c r="E450" s="28"/>
      <c r="F450" s="28"/>
      <c r="G450" s="28"/>
    </row>
    <row r="451" spans="1:7" x14ac:dyDescent="0.25">
      <c r="A451" s="6"/>
      <c r="B451" s="6"/>
      <c r="C451" s="28"/>
      <c r="D451" s="28"/>
      <c r="E451" s="28"/>
      <c r="F451" s="28"/>
      <c r="G451" s="28"/>
    </row>
    <row r="452" spans="1:7" x14ac:dyDescent="0.25">
      <c r="A452" s="6"/>
      <c r="B452" s="6"/>
      <c r="C452" s="28"/>
      <c r="D452" s="28"/>
      <c r="E452" s="28"/>
      <c r="F452" s="28"/>
      <c r="G452" s="28"/>
    </row>
    <row r="453" spans="1:7" x14ac:dyDescent="0.25">
      <c r="A453" s="6"/>
      <c r="B453" s="6"/>
      <c r="C453" s="28"/>
      <c r="D453" s="28"/>
      <c r="E453" s="28"/>
      <c r="F453" s="28"/>
      <c r="G453" s="28"/>
    </row>
    <row r="454" spans="1:7" x14ac:dyDescent="0.25">
      <c r="A454" s="6"/>
      <c r="B454" s="6"/>
      <c r="C454" s="28"/>
      <c r="D454" s="28"/>
      <c r="E454" s="28"/>
      <c r="F454" s="28"/>
      <c r="G454" s="28"/>
    </row>
    <row r="455" spans="1:7" x14ac:dyDescent="0.25">
      <c r="A455" s="6"/>
      <c r="B455" s="6"/>
      <c r="C455" s="28"/>
      <c r="D455" s="28"/>
      <c r="E455" s="28"/>
      <c r="F455" s="28"/>
      <c r="G455" s="28"/>
    </row>
    <row r="456" spans="1:7" x14ac:dyDescent="0.25">
      <c r="A456" s="6"/>
      <c r="B456" s="6"/>
      <c r="C456" s="28"/>
      <c r="D456" s="28"/>
      <c r="E456" s="28"/>
      <c r="F456" s="28"/>
      <c r="G456" s="28"/>
    </row>
    <row r="457" spans="1:7" x14ac:dyDescent="0.25">
      <c r="A457" s="6"/>
      <c r="B457" s="6"/>
      <c r="C457" s="28"/>
      <c r="D457" s="28"/>
      <c r="E457" s="28"/>
      <c r="F457" s="28"/>
      <c r="G457" s="28"/>
    </row>
    <row r="458" spans="1:7" x14ac:dyDescent="0.25">
      <c r="A458" s="6"/>
      <c r="B458" s="6"/>
      <c r="C458" s="28"/>
      <c r="D458" s="28"/>
      <c r="E458" s="28"/>
      <c r="F458" s="28"/>
      <c r="G458" s="28"/>
    </row>
    <row r="459" spans="1:7" x14ac:dyDescent="0.25">
      <c r="A459" s="6"/>
      <c r="B459" s="6"/>
      <c r="C459" s="28"/>
      <c r="D459" s="28"/>
      <c r="E459" s="28"/>
      <c r="F459" s="28"/>
      <c r="G459" s="28"/>
    </row>
    <row r="460" spans="1:7" x14ac:dyDescent="0.25">
      <c r="A460" s="6"/>
      <c r="B460" s="6"/>
      <c r="C460" s="28"/>
      <c r="D460" s="28"/>
      <c r="E460" s="28"/>
      <c r="F460" s="28"/>
      <c r="G460" s="28"/>
    </row>
    <row r="461" spans="1:7" x14ac:dyDescent="0.25">
      <c r="A461" s="6"/>
      <c r="B461" s="6"/>
      <c r="C461" s="28"/>
      <c r="D461" s="28"/>
      <c r="E461" s="28"/>
      <c r="F461" s="28"/>
      <c r="G461" s="28"/>
    </row>
    <row r="462" spans="1:7" x14ac:dyDescent="0.25">
      <c r="A462" s="6"/>
      <c r="B462" s="6"/>
      <c r="C462" s="28"/>
      <c r="D462" s="28"/>
      <c r="E462" s="28"/>
      <c r="F462" s="28"/>
      <c r="G462" s="28"/>
    </row>
    <row r="463" spans="1:7" x14ac:dyDescent="0.25">
      <c r="A463" s="6"/>
      <c r="B463" s="6"/>
      <c r="C463" s="28"/>
      <c r="D463" s="28"/>
      <c r="E463" s="28"/>
      <c r="F463" s="28"/>
      <c r="G463" s="28"/>
    </row>
    <row r="464" spans="1:7" x14ac:dyDescent="0.25">
      <c r="A464" s="6"/>
      <c r="B464" s="6"/>
      <c r="C464" s="28"/>
      <c r="D464" s="28"/>
      <c r="E464" s="28"/>
      <c r="F464" s="28"/>
      <c r="G464" s="28"/>
    </row>
    <row r="465" spans="1:7" x14ac:dyDescent="0.25">
      <c r="A465" s="6"/>
      <c r="B465" s="6"/>
      <c r="C465" s="28"/>
      <c r="D465" s="28"/>
      <c r="E465" s="28"/>
      <c r="F465" s="28"/>
      <c r="G465" s="28"/>
    </row>
    <row r="466" spans="1:7" x14ac:dyDescent="0.25">
      <c r="A466" s="6"/>
      <c r="B466" s="6"/>
      <c r="C466" s="28"/>
      <c r="D466" s="28"/>
      <c r="E466" s="28"/>
      <c r="F466" s="28"/>
      <c r="G466" s="28"/>
    </row>
    <row r="467" spans="1:7" x14ac:dyDescent="0.25">
      <c r="A467" s="6"/>
      <c r="B467" s="6"/>
      <c r="C467" s="28"/>
      <c r="D467" s="28"/>
      <c r="E467" s="28"/>
      <c r="F467" s="28"/>
      <c r="G467" s="28"/>
    </row>
    <row r="468" spans="1:7" x14ac:dyDescent="0.25">
      <c r="A468" s="6"/>
      <c r="B468" s="6"/>
      <c r="C468" s="28"/>
      <c r="D468" s="28"/>
      <c r="E468" s="28"/>
      <c r="F468" s="28"/>
      <c r="G468" s="28"/>
    </row>
    <row r="469" spans="1:7" x14ac:dyDescent="0.25">
      <c r="A469" s="6"/>
      <c r="B469" s="6"/>
      <c r="C469" s="28"/>
      <c r="D469" s="28"/>
      <c r="E469" s="28"/>
      <c r="F469" s="28"/>
      <c r="G469" s="28"/>
    </row>
    <row r="470" spans="1:7" x14ac:dyDescent="0.25">
      <c r="A470" s="6"/>
      <c r="B470" s="6"/>
      <c r="C470" s="28"/>
      <c r="D470" s="28"/>
      <c r="E470" s="28"/>
      <c r="F470" s="28"/>
      <c r="G470" s="28"/>
    </row>
    <row r="471" spans="1:7" x14ac:dyDescent="0.25">
      <c r="A471" s="6"/>
      <c r="B471" s="6"/>
      <c r="C471" s="28"/>
      <c r="D471" s="28"/>
      <c r="E471" s="28"/>
      <c r="F471" s="28"/>
      <c r="G471" s="28"/>
    </row>
    <row r="472" spans="1:7" x14ac:dyDescent="0.25">
      <c r="A472" s="6"/>
      <c r="B472" s="6"/>
      <c r="C472" s="28"/>
      <c r="D472" s="28"/>
      <c r="E472" s="28"/>
      <c r="F472" s="28"/>
      <c r="G472" s="28"/>
    </row>
    <row r="473" spans="1:7" x14ac:dyDescent="0.25">
      <c r="A473" s="6"/>
      <c r="B473" s="6"/>
      <c r="C473" s="28"/>
      <c r="D473" s="28"/>
      <c r="E473" s="28"/>
      <c r="F473" s="28"/>
      <c r="G473" s="28"/>
    </row>
    <row r="474" spans="1:7" x14ac:dyDescent="0.25">
      <c r="A474" s="6"/>
      <c r="B474" s="6"/>
      <c r="C474" s="28"/>
      <c r="D474" s="28"/>
      <c r="E474" s="28"/>
      <c r="F474" s="28"/>
      <c r="G474" s="28"/>
    </row>
    <row r="475" spans="1:7" x14ac:dyDescent="0.25">
      <c r="A475" s="6"/>
      <c r="B475" s="6"/>
      <c r="C475" s="28"/>
      <c r="D475" s="28"/>
      <c r="E475" s="28"/>
      <c r="F475" s="28"/>
      <c r="G475" s="28"/>
    </row>
    <row r="476" spans="1:7" x14ac:dyDescent="0.25">
      <c r="A476" s="6"/>
      <c r="B476" s="6"/>
      <c r="C476" s="28"/>
      <c r="D476" s="28"/>
      <c r="E476" s="28"/>
      <c r="F476" s="28"/>
      <c r="G476" s="28"/>
    </row>
    <row r="477" spans="1:7" x14ac:dyDescent="0.25">
      <c r="A477" s="6"/>
      <c r="B477" s="6"/>
      <c r="C477" s="28"/>
      <c r="D477" s="28"/>
      <c r="E477" s="28"/>
      <c r="F477" s="28"/>
      <c r="G477" s="28"/>
    </row>
    <row r="478" spans="1:7" x14ac:dyDescent="0.25">
      <c r="A478" s="6"/>
      <c r="B478" s="6"/>
      <c r="C478" s="28"/>
      <c r="D478" s="28"/>
      <c r="E478" s="28"/>
      <c r="F478" s="28"/>
      <c r="G478" s="28"/>
    </row>
    <row r="479" spans="1:7" x14ac:dyDescent="0.25">
      <c r="A479" s="6"/>
      <c r="B479" s="6"/>
      <c r="C479" s="28"/>
      <c r="D479" s="28"/>
      <c r="E479" s="28"/>
      <c r="F479" s="28"/>
      <c r="G479" s="28"/>
    </row>
    <row r="480" spans="1:7" x14ac:dyDescent="0.25">
      <c r="A480" s="6"/>
      <c r="B480" s="6"/>
      <c r="C480" s="28"/>
      <c r="D480" s="28"/>
      <c r="E480" s="28"/>
      <c r="F480" s="28"/>
      <c r="G480" s="28"/>
    </row>
    <row r="481" spans="1:7" x14ac:dyDescent="0.25">
      <c r="A481" s="6"/>
      <c r="B481" s="6"/>
      <c r="C481" s="28"/>
      <c r="D481" s="28"/>
      <c r="E481" s="28"/>
      <c r="F481" s="28"/>
      <c r="G481" s="28"/>
    </row>
    <row r="482" spans="1:7" x14ac:dyDescent="0.25">
      <c r="A482" s="6"/>
      <c r="B482" s="6"/>
      <c r="C482" s="28"/>
      <c r="D482" s="28"/>
      <c r="E482" s="28"/>
      <c r="F482" s="28"/>
      <c r="G482" s="28"/>
    </row>
    <row r="483" spans="1:7" x14ac:dyDescent="0.25">
      <c r="A483" s="6"/>
      <c r="B483" s="6"/>
      <c r="C483" s="28"/>
      <c r="D483" s="28"/>
      <c r="E483" s="28"/>
      <c r="F483" s="28"/>
      <c r="G483" s="28"/>
    </row>
    <row r="484" spans="1:7" x14ac:dyDescent="0.25">
      <c r="A484" s="6"/>
      <c r="B484" s="6"/>
      <c r="C484" s="28"/>
      <c r="D484" s="28"/>
      <c r="E484" s="28"/>
      <c r="F484" s="28"/>
      <c r="G484" s="28"/>
    </row>
    <row r="485" spans="1:7" x14ac:dyDescent="0.25">
      <c r="A485" s="6"/>
      <c r="B485" s="6"/>
      <c r="C485" s="28"/>
      <c r="D485" s="28"/>
      <c r="E485" s="28"/>
      <c r="F485" s="28"/>
      <c r="G485" s="28"/>
    </row>
    <row r="486" spans="1:7" x14ac:dyDescent="0.25">
      <c r="A486" s="6"/>
      <c r="B486" s="6"/>
      <c r="C486" s="28"/>
      <c r="D486" s="28"/>
      <c r="E486" s="28"/>
      <c r="F486" s="28"/>
      <c r="G486" s="28"/>
    </row>
    <row r="487" spans="1:7" x14ac:dyDescent="0.25">
      <c r="B487" s="6"/>
    </row>
    <row r="488" spans="1:7" x14ac:dyDescent="0.25">
      <c r="B488" s="6"/>
    </row>
    <row r="489" spans="1:7" x14ac:dyDescent="0.25">
      <c r="B489" s="6"/>
    </row>
    <row r="490" spans="1:7" x14ac:dyDescent="0.25">
      <c r="B490" s="6"/>
    </row>
    <row r="491" spans="1:7" x14ac:dyDescent="0.25">
      <c r="B491" s="6"/>
    </row>
    <row r="492" spans="1:7" x14ac:dyDescent="0.25">
      <c r="B492" s="6"/>
    </row>
    <row r="493" spans="1:7" x14ac:dyDescent="0.25">
      <c r="B493" s="6"/>
    </row>
    <row r="494" spans="1:7" x14ac:dyDescent="0.25">
      <c r="B494" s="6"/>
    </row>
    <row r="495" spans="1:7" x14ac:dyDescent="0.25">
      <c r="B495" s="6"/>
    </row>
    <row r="496" spans="1:7" x14ac:dyDescent="0.25">
      <c r="B496" s="6"/>
    </row>
    <row r="497" spans="2:2" x14ac:dyDescent="0.25">
      <c r="B497" s="6"/>
    </row>
    <row r="498" spans="2:2" x14ac:dyDescent="0.25">
      <c r="B498" s="6"/>
    </row>
    <row r="499" spans="2:2" x14ac:dyDescent="0.25">
      <c r="B499" s="6"/>
    </row>
    <row r="500" spans="2:2" x14ac:dyDescent="0.25">
      <c r="B500" s="6"/>
    </row>
    <row r="501" spans="2:2" x14ac:dyDescent="0.25">
      <c r="B501" s="6"/>
    </row>
    <row r="502" spans="2:2" x14ac:dyDescent="0.25">
      <c r="B502" s="6"/>
    </row>
    <row r="503" spans="2:2" x14ac:dyDescent="0.25">
      <c r="B503" s="6"/>
    </row>
    <row r="504" spans="2:2" x14ac:dyDescent="0.25">
      <c r="B504" s="6"/>
    </row>
    <row r="505" spans="2:2" x14ac:dyDescent="0.25">
      <c r="B505" s="6"/>
    </row>
    <row r="506" spans="2:2" x14ac:dyDescent="0.25">
      <c r="B506" s="6"/>
    </row>
    <row r="507" spans="2:2" x14ac:dyDescent="0.25">
      <c r="B507" s="6"/>
    </row>
    <row r="508" spans="2:2" x14ac:dyDescent="0.25">
      <c r="B508" s="6"/>
    </row>
    <row r="509" spans="2:2" x14ac:dyDescent="0.25">
      <c r="B509" s="6"/>
    </row>
    <row r="510" spans="2:2" x14ac:dyDescent="0.25">
      <c r="B510" s="6"/>
    </row>
    <row r="511" spans="2:2" x14ac:dyDescent="0.25">
      <c r="B511" s="6"/>
    </row>
    <row r="512" spans="2:2" x14ac:dyDescent="0.25">
      <c r="B512" s="6"/>
    </row>
    <row r="513" spans="2:2" x14ac:dyDescent="0.25">
      <c r="B513" s="6"/>
    </row>
    <row r="514" spans="2:2" x14ac:dyDescent="0.25">
      <c r="B514" s="6"/>
    </row>
    <row r="515" spans="2:2" x14ac:dyDescent="0.25">
      <c r="B515" s="6"/>
    </row>
    <row r="516" spans="2:2" x14ac:dyDescent="0.25">
      <c r="B516" s="6"/>
    </row>
    <row r="517" spans="2:2" x14ac:dyDescent="0.25">
      <c r="B517" s="6"/>
    </row>
    <row r="518" spans="2:2" x14ac:dyDescent="0.25">
      <c r="B518" s="6"/>
    </row>
    <row r="519" spans="2:2" x14ac:dyDescent="0.25">
      <c r="B519" s="6"/>
    </row>
    <row r="520" spans="2:2" x14ac:dyDescent="0.25">
      <c r="B520" s="6"/>
    </row>
    <row r="521" spans="2:2" x14ac:dyDescent="0.25">
      <c r="B521" s="6"/>
    </row>
    <row r="522" spans="2:2" x14ac:dyDescent="0.25">
      <c r="B522" s="6"/>
    </row>
    <row r="523" spans="2:2" x14ac:dyDescent="0.25">
      <c r="B523" s="6"/>
    </row>
    <row r="524" spans="2:2" x14ac:dyDescent="0.25">
      <c r="B524" s="6"/>
    </row>
    <row r="525" spans="2:2" x14ac:dyDescent="0.25">
      <c r="B525" s="6"/>
    </row>
    <row r="526" spans="2:2" x14ac:dyDescent="0.25">
      <c r="B526" s="6"/>
    </row>
    <row r="527" spans="2:2" x14ac:dyDescent="0.25">
      <c r="B527" s="6"/>
    </row>
    <row r="528" spans="2:2" x14ac:dyDescent="0.25">
      <c r="B528" s="6"/>
    </row>
    <row r="529" spans="2:2" x14ac:dyDescent="0.25">
      <c r="B529" s="6"/>
    </row>
    <row r="530" spans="2:2" x14ac:dyDescent="0.25">
      <c r="B530" s="6"/>
    </row>
    <row r="531" spans="2:2" x14ac:dyDescent="0.25">
      <c r="B531" s="7"/>
    </row>
    <row r="532" spans="2:2" x14ac:dyDescent="0.25">
      <c r="B532" s="7"/>
    </row>
    <row r="533" spans="2:2" x14ac:dyDescent="0.25">
      <c r="B533" s="7"/>
    </row>
    <row r="534" spans="2:2" x14ac:dyDescent="0.25">
      <c r="B534" s="7"/>
    </row>
    <row r="535" spans="2:2" x14ac:dyDescent="0.25">
      <c r="B535" s="7"/>
    </row>
    <row r="536" spans="2:2" x14ac:dyDescent="0.25">
      <c r="B536" s="7"/>
    </row>
    <row r="537" spans="2:2" x14ac:dyDescent="0.25">
      <c r="B537" s="7"/>
    </row>
    <row r="538" spans="2:2" x14ac:dyDescent="0.25">
      <c r="B538" s="7"/>
    </row>
    <row r="539" spans="2:2" x14ac:dyDescent="0.25">
      <c r="B539" s="7"/>
    </row>
    <row r="540" spans="2:2" x14ac:dyDescent="0.25">
      <c r="B540" s="7"/>
    </row>
    <row r="541" spans="2:2" x14ac:dyDescent="0.25">
      <c r="B541" s="7"/>
    </row>
    <row r="542" spans="2:2" x14ac:dyDescent="0.25">
      <c r="B542" s="7"/>
    </row>
    <row r="543" spans="2:2" x14ac:dyDescent="0.25">
      <c r="B543" s="7"/>
    </row>
    <row r="544" spans="2:2" x14ac:dyDescent="0.25">
      <c r="B544" s="7"/>
    </row>
    <row r="545" spans="2:2" x14ac:dyDescent="0.25">
      <c r="B545" s="7"/>
    </row>
    <row r="546" spans="2:2" x14ac:dyDescent="0.25">
      <c r="B546" s="7"/>
    </row>
    <row r="547" spans="2:2" x14ac:dyDescent="0.25">
      <c r="B547" s="7"/>
    </row>
    <row r="548" spans="2:2" x14ac:dyDescent="0.25">
      <c r="B548" s="7"/>
    </row>
    <row r="549" spans="2:2" x14ac:dyDescent="0.25">
      <c r="B549" s="7"/>
    </row>
    <row r="550" spans="2:2" x14ac:dyDescent="0.25">
      <c r="B550" s="7"/>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1D909506-4200-41F6-8ED5-945E9CC9647A}">
          <x14:formula1>
            <xm:f>DATA!$A$2:$A$5</xm:f>
          </x14:formula1>
          <xm:sqref>C2:C256</xm:sqref>
        </x14:dataValidation>
        <x14:dataValidation type="list" allowBlank="1" showInputMessage="1" showErrorMessage="1" xr:uid="{A9552C7D-FFC7-43F7-B86F-D7C2BCF927CA}">
          <x14:formula1>
            <xm:f>DATA!$C$2:$C$5</xm:f>
          </x14:formula1>
          <xm:sqref>AA6:AA7 AA2 F2:F256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DF010-9CC4-4569-9578-66EC291B7D47}">
  <sheetPr codeName="Feuil7">
    <tabColor rgb="FF002060"/>
  </sheetPr>
  <dimension ref="A1:CD264"/>
  <sheetViews>
    <sheetView workbookViewId="0">
      <selection activeCell="E17" sqref="E17"/>
    </sheetView>
  </sheetViews>
  <sheetFormatPr baseColWidth="10" defaultRowHeight="15" x14ac:dyDescent="0.25"/>
  <cols>
    <col min="1" max="1" width="10.7109375" customWidth="1"/>
    <col min="2" max="2" width="17.7109375" customWidth="1"/>
    <col min="3" max="51" width="5.7109375" customWidth="1"/>
    <col min="52" max="52" width="5.7109375" hidden="1" customWidth="1"/>
    <col min="53" max="55" width="5.7109375" style="4" hidden="1" customWidth="1"/>
    <col min="56" max="56" width="5.7109375" style="4" customWidth="1"/>
    <col min="57" max="63" width="5.7109375" customWidth="1"/>
    <col min="64" max="69" width="5.7109375" style="4" customWidth="1"/>
    <col min="70" max="82" width="11.42578125" style="4"/>
  </cols>
  <sheetData>
    <row r="1" spans="1:63" ht="21.75" thickBot="1" x14ac:dyDescent="0.3">
      <c r="A1" s="4"/>
      <c r="B1" s="130" t="s">
        <v>13</v>
      </c>
      <c r="C1" s="18">
        <v>0</v>
      </c>
      <c r="D1" s="29" t="s">
        <v>34</v>
      </c>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18">
        <f>C1</f>
        <v>0</v>
      </c>
      <c r="BA1" s="29" t="s">
        <v>34</v>
      </c>
      <c r="BE1" s="4"/>
      <c r="BF1" s="4"/>
      <c r="BG1" s="4"/>
      <c r="BH1" s="4"/>
      <c r="BI1" s="4"/>
      <c r="BJ1" s="4"/>
      <c r="BK1" s="4"/>
    </row>
    <row r="2" spans="1:63" ht="93" thickBot="1" x14ac:dyDescent="0.3">
      <c r="A2" s="116"/>
      <c r="B2" s="117" t="s">
        <v>53</v>
      </c>
      <c r="C2" s="136" t="s">
        <v>363</v>
      </c>
      <c r="D2" s="137" t="s">
        <v>363</v>
      </c>
      <c r="E2" s="310" t="s">
        <v>363</v>
      </c>
      <c r="F2" s="137" t="s">
        <v>363</v>
      </c>
      <c r="G2" s="136" t="s">
        <v>363</v>
      </c>
      <c r="H2" s="137" t="s">
        <v>363</v>
      </c>
      <c r="I2" s="136" t="s">
        <v>363</v>
      </c>
      <c r="J2" s="137" t="s">
        <v>363</v>
      </c>
      <c r="K2" s="136" t="s">
        <v>363</v>
      </c>
      <c r="L2" s="137" t="s">
        <v>363</v>
      </c>
      <c r="M2" s="136" t="s">
        <v>363</v>
      </c>
      <c r="N2" s="137" t="s">
        <v>363</v>
      </c>
      <c r="O2" s="136" t="s">
        <v>363</v>
      </c>
      <c r="P2" s="137" t="s">
        <v>363</v>
      </c>
      <c r="Q2" s="136" t="s">
        <v>363</v>
      </c>
      <c r="R2" s="137" t="s">
        <v>363</v>
      </c>
      <c r="S2" s="136" t="s">
        <v>363</v>
      </c>
      <c r="T2" s="137" t="s">
        <v>363</v>
      </c>
      <c r="U2" s="136" t="s">
        <v>363</v>
      </c>
      <c r="V2" s="137" t="s">
        <v>363</v>
      </c>
      <c r="W2" s="136" t="s">
        <v>363</v>
      </c>
      <c r="X2" s="137" t="s">
        <v>363</v>
      </c>
      <c r="Y2" s="136" t="s">
        <v>363</v>
      </c>
      <c r="Z2" s="137" t="s">
        <v>363</v>
      </c>
      <c r="AA2" s="136" t="s">
        <v>363</v>
      </c>
      <c r="AB2" s="137" t="s">
        <v>363</v>
      </c>
      <c r="AC2" s="136" t="s">
        <v>363</v>
      </c>
      <c r="AD2" s="137" t="s">
        <v>363</v>
      </c>
      <c r="AE2" s="136" t="s">
        <v>363</v>
      </c>
      <c r="AF2" s="137" t="s">
        <v>363</v>
      </c>
      <c r="AG2" s="136" t="s">
        <v>363</v>
      </c>
      <c r="AH2" s="137" t="s">
        <v>363</v>
      </c>
      <c r="AI2" s="136" t="s">
        <v>363</v>
      </c>
      <c r="AJ2" s="137" t="s">
        <v>363</v>
      </c>
      <c r="AK2" s="136" t="s">
        <v>363</v>
      </c>
      <c r="AL2" s="137" t="s">
        <v>363</v>
      </c>
      <c r="AM2" s="136" t="s">
        <v>363</v>
      </c>
      <c r="AN2" s="137" t="s">
        <v>363</v>
      </c>
      <c r="AO2" s="136" t="s">
        <v>363</v>
      </c>
      <c r="AP2" s="137" t="s">
        <v>363</v>
      </c>
      <c r="AQ2" s="136" t="s">
        <v>363</v>
      </c>
      <c r="AR2" s="137" t="s">
        <v>363</v>
      </c>
      <c r="AS2" s="136" t="s">
        <v>363</v>
      </c>
      <c r="AT2" s="137" t="s">
        <v>363</v>
      </c>
      <c r="AU2" s="136" t="s">
        <v>363</v>
      </c>
      <c r="AV2" s="137" t="s">
        <v>363</v>
      </c>
      <c r="AW2" s="136" t="s">
        <v>363</v>
      </c>
      <c r="AX2" s="138" t="s">
        <v>363</v>
      </c>
      <c r="AY2" s="118" t="s">
        <v>363</v>
      </c>
      <c r="AZ2" s="116" t="s">
        <v>363</v>
      </c>
      <c r="BE2" s="131" t="s">
        <v>374</v>
      </c>
      <c r="BF2" s="132"/>
      <c r="BG2" s="131" t="s">
        <v>372</v>
      </c>
      <c r="BH2" s="132"/>
      <c r="BI2" s="131" t="s">
        <v>373</v>
      </c>
      <c r="BJ2" s="133"/>
      <c r="BK2" s="131" t="s">
        <v>322</v>
      </c>
    </row>
    <row r="3" spans="1:63" ht="18.95" customHeight="1" x14ac:dyDescent="0.25">
      <c r="A3" s="4"/>
      <c r="B3" s="119" t="s">
        <v>363</v>
      </c>
      <c r="C3" s="47"/>
      <c r="D3" s="48"/>
      <c r="E3" s="39"/>
      <c r="F3" s="38"/>
      <c r="G3" s="39"/>
      <c r="H3" s="38"/>
      <c r="I3" s="39"/>
      <c r="J3" s="38"/>
      <c r="K3" s="39"/>
      <c r="L3" s="38"/>
      <c r="M3" s="39"/>
      <c r="N3" s="38"/>
      <c r="O3" s="39"/>
      <c r="P3" s="38"/>
      <c r="Q3" s="39"/>
      <c r="R3" s="38"/>
      <c r="S3" s="39"/>
      <c r="T3" s="38"/>
      <c r="U3" s="39"/>
      <c r="V3" s="38"/>
      <c r="W3" s="39"/>
      <c r="X3" s="38"/>
      <c r="Y3" s="39"/>
      <c r="Z3" s="38"/>
      <c r="AA3" s="39"/>
      <c r="AB3" s="38"/>
      <c r="AC3" s="39"/>
      <c r="AD3" s="38"/>
      <c r="AE3" s="39"/>
      <c r="AF3" s="38"/>
      <c r="AG3" s="39"/>
      <c r="AH3" s="38"/>
      <c r="AI3" s="39"/>
      <c r="AJ3" s="38"/>
      <c r="AK3" s="39"/>
      <c r="AL3" s="38"/>
      <c r="AM3" s="39"/>
      <c r="AN3" s="38"/>
      <c r="AO3" s="39"/>
      <c r="AP3" s="38"/>
      <c r="AQ3" s="32"/>
      <c r="AR3" s="33"/>
      <c r="AS3" s="32"/>
      <c r="AT3" s="33"/>
      <c r="AU3" s="32"/>
      <c r="AV3" s="33"/>
      <c r="AW3" s="32"/>
      <c r="AX3" s="30"/>
      <c r="AY3" s="42"/>
      <c r="AZ3" s="4"/>
      <c r="BE3" s="93"/>
      <c r="BF3" s="4"/>
      <c r="BG3" s="93"/>
      <c r="BH3" s="4"/>
      <c r="BI3" s="93"/>
      <c r="BJ3" s="4"/>
      <c r="BK3" s="93"/>
    </row>
    <row r="4" spans="1:63" ht="18.95" customHeight="1" x14ac:dyDescent="0.25">
      <c r="A4" s="4"/>
      <c r="B4" s="120" t="s">
        <v>363</v>
      </c>
      <c r="C4" s="44"/>
      <c r="D4" s="41"/>
      <c r="E4" s="40"/>
      <c r="F4" s="41"/>
      <c r="G4" s="40"/>
      <c r="H4" s="41"/>
      <c r="I4" s="40"/>
      <c r="J4" s="41"/>
      <c r="K4" s="40"/>
      <c r="L4" s="41"/>
      <c r="M4" s="40"/>
      <c r="N4" s="41"/>
      <c r="O4" s="40"/>
      <c r="P4" s="41"/>
      <c r="Q4" s="40"/>
      <c r="R4" s="41"/>
      <c r="S4" s="40"/>
      <c r="T4" s="41"/>
      <c r="U4" s="40"/>
      <c r="V4" s="41"/>
      <c r="W4" s="40"/>
      <c r="X4" s="35"/>
      <c r="Y4" s="34"/>
      <c r="Z4" s="35"/>
      <c r="AA4" s="34"/>
      <c r="AB4" s="35"/>
      <c r="AC4" s="34"/>
      <c r="AD4" s="35"/>
      <c r="AE4" s="34"/>
      <c r="AF4" s="35"/>
      <c r="AG4" s="34"/>
      <c r="AH4" s="35"/>
      <c r="AI4" s="34"/>
      <c r="AJ4" s="35"/>
      <c r="AK4" s="34"/>
      <c r="AL4" s="35"/>
      <c r="AM4" s="34"/>
      <c r="AN4" s="35"/>
      <c r="AO4" s="34"/>
      <c r="AP4" s="35"/>
      <c r="AQ4" s="34"/>
      <c r="AR4" s="35"/>
      <c r="AS4" s="34"/>
      <c r="AT4" s="35"/>
      <c r="AU4" s="34"/>
      <c r="AV4" s="35"/>
      <c r="AW4" s="34"/>
      <c r="AX4" s="31"/>
      <c r="AY4" s="42"/>
      <c r="AZ4" s="4"/>
      <c r="BE4" s="66"/>
      <c r="BF4" s="4"/>
      <c r="BG4" s="66"/>
      <c r="BH4" s="4"/>
      <c r="BI4" s="66"/>
      <c r="BJ4" s="4"/>
      <c r="BK4" s="66"/>
    </row>
    <row r="5" spans="1:63" ht="18.95" customHeight="1" x14ac:dyDescent="0.25">
      <c r="A5" s="4"/>
      <c r="B5" s="119" t="s">
        <v>363</v>
      </c>
      <c r="C5" s="39"/>
      <c r="D5" s="38"/>
      <c r="E5" s="39"/>
      <c r="F5" s="38"/>
      <c r="G5" s="39"/>
      <c r="H5" s="38"/>
      <c r="I5" s="39"/>
      <c r="J5" s="38"/>
      <c r="K5" s="39"/>
      <c r="L5" s="38"/>
      <c r="M5" s="39"/>
      <c r="N5" s="38"/>
      <c r="O5" s="39"/>
      <c r="P5" s="38"/>
      <c r="Q5" s="39"/>
      <c r="R5" s="38"/>
      <c r="S5" s="39"/>
      <c r="T5" s="38"/>
      <c r="U5" s="39"/>
      <c r="V5" s="38"/>
      <c r="W5" s="39"/>
      <c r="X5" s="38"/>
      <c r="Y5" s="39"/>
      <c r="Z5" s="38"/>
      <c r="AA5" s="39"/>
      <c r="AB5" s="38"/>
      <c r="AC5" s="39"/>
      <c r="AD5" s="38"/>
      <c r="AE5" s="39"/>
      <c r="AF5" s="38"/>
      <c r="AG5" s="39"/>
      <c r="AH5" s="38"/>
      <c r="AI5" s="39"/>
      <c r="AJ5" s="38"/>
      <c r="AK5" s="39"/>
      <c r="AL5" s="38"/>
      <c r="AM5" s="39"/>
      <c r="AN5" s="38"/>
      <c r="AO5" s="39"/>
      <c r="AP5" s="38"/>
      <c r="AQ5" s="39"/>
      <c r="AR5" s="38"/>
      <c r="AS5" s="39"/>
      <c r="AT5" s="38"/>
      <c r="AU5" s="39"/>
      <c r="AV5" s="38"/>
      <c r="AW5" s="39"/>
      <c r="AX5" s="45"/>
      <c r="AY5" s="42"/>
      <c r="AZ5" s="4"/>
      <c r="BE5" s="65"/>
      <c r="BF5" s="4"/>
      <c r="BG5" s="65"/>
      <c r="BH5" s="4"/>
      <c r="BI5" s="65"/>
      <c r="BJ5" s="4"/>
      <c r="BK5" s="65"/>
    </row>
    <row r="6" spans="1:63" ht="18.95" customHeight="1" x14ac:dyDescent="0.25">
      <c r="A6" s="4"/>
      <c r="B6" s="120" t="s">
        <v>363</v>
      </c>
      <c r="C6" s="40"/>
      <c r="D6" s="41"/>
      <c r="E6" s="40"/>
      <c r="F6" s="41"/>
      <c r="G6" s="40"/>
      <c r="H6" s="41"/>
      <c r="I6" s="40"/>
      <c r="J6" s="41"/>
      <c r="K6" s="40"/>
      <c r="L6" s="41"/>
      <c r="M6" s="40"/>
      <c r="N6" s="41"/>
      <c r="O6" s="40"/>
      <c r="P6" s="41"/>
      <c r="Q6" s="40"/>
      <c r="R6" s="41"/>
      <c r="S6" s="40"/>
      <c r="T6" s="41"/>
      <c r="U6" s="40"/>
      <c r="V6" s="41"/>
      <c r="W6" s="40"/>
      <c r="X6" s="41"/>
      <c r="Y6" s="40"/>
      <c r="Z6" s="35"/>
      <c r="AA6" s="34"/>
      <c r="AB6" s="35"/>
      <c r="AC6" s="34"/>
      <c r="AD6" s="35"/>
      <c r="AE6" s="34"/>
      <c r="AF6" s="35"/>
      <c r="AG6" s="34"/>
      <c r="AH6" s="35"/>
      <c r="AI6" s="34"/>
      <c r="AJ6" s="35"/>
      <c r="AK6" s="34"/>
      <c r="AL6" s="35"/>
      <c r="AM6" s="34"/>
      <c r="AN6" s="35"/>
      <c r="AO6" s="34"/>
      <c r="AP6" s="35"/>
      <c r="AQ6" s="34"/>
      <c r="AR6" s="35"/>
      <c r="AS6" s="34"/>
      <c r="AT6" s="35"/>
      <c r="AU6" s="34"/>
      <c r="AV6" s="35"/>
      <c r="AW6" s="34"/>
      <c r="AX6" s="31"/>
      <c r="AY6" s="42"/>
      <c r="AZ6" s="4"/>
      <c r="BE6" s="66"/>
      <c r="BF6" s="4"/>
      <c r="BG6" s="66"/>
      <c r="BH6" s="4"/>
      <c r="BI6" s="66"/>
      <c r="BJ6" s="4"/>
      <c r="BK6" s="66"/>
    </row>
    <row r="7" spans="1:63" ht="18.95" customHeight="1" x14ac:dyDescent="0.25">
      <c r="A7" s="4"/>
      <c r="B7" s="119" t="s">
        <v>363</v>
      </c>
      <c r="C7" s="39"/>
      <c r="D7" s="38"/>
      <c r="E7" s="39"/>
      <c r="F7" s="38"/>
      <c r="G7" s="39"/>
      <c r="H7" s="38"/>
      <c r="I7" s="39"/>
      <c r="J7" s="38"/>
      <c r="K7" s="39"/>
      <c r="L7" s="38"/>
      <c r="M7" s="39"/>
      <c r="N7" s="38"/>
      <c r="O7" s="39"/>
      <c r="P7" s="38"/>
      <c r="Q7" s="39"/>
      <c r="R7" s="38"/>
      <c r="S7" s="39"/>
      <c r="T7" s="38"/>
      <c r="U7" s="32"/>
      <c r="V7" s="33"/>
      <c r="W7" s="32"/>
      <c r="X7" s="33"/>
      <c r="Y7" s="32"/>
      <c r="Z7" s="33"/>
      <c r="AA7" s="32"/>
      <c r="AB7" s="33"/>
      <c r="AC7" s="32"/>
      <c r="AD7" s="33"/>
      <c r="AE7" s="32"/>
      <c r="AF7" s="33"/>
      <c r="AG7" s="32"/>
      <c r="AH7" s="33"/>
      <c r="AI7" s="32"/>
      <c r="AJ7" s="33"/>
      <c r="AK7" s="32"/>
      <c r="AL7" s="33"/>
      <c r="AM7" s="32"/>
      <c r="AN7" s="33"/>
      <c r="AO7" s="32"/>
      <c r="AP7" s="33"/>
      <c r="AQ7" s="32"/>
      <c r="AR7" s="33"/>
      <c r="AS7" s="32"/>
      <c r="AT7" s="33"/>
      <c r="AU7" s="32"/>
      <c r="AV7" s="33"/>
      <c r="AW7" s="32"/>
      <c r="AX7" s="30"/>
      <c r="AY7" s="42"/>
      <c r="AZ7" s="4"/>
      <c r="BE7" s="65"/>
      <c r="BF7" s="4"/>
      <c r="BG7" s="65"/>
      <c r="BH7" s="4"/>
      <c r="BI7" s="65"/>
      <c r="BJ7" s="4"/>
      <c r="BK7" s="65"/>
    </row>
    <row r="8" spans="1:63" ht="18.95" customHeight="1" x14ac:dyDescent="0.25">
      <c r="A8" s="4"/>
      <c r="B8" s="120" t="s">
        <v>363</v>
      </c>
      <c r="C8" s="40"/>
      <c r="D8" s="41"/>
      <c r="E8" s="40"/>
      <c r="F8" s="41"/>
      <c r="G8" s="40"/>
      <c r="H8" s="41"/>
      <c r="I8" s="40"/>
      <c r="J8" s="41"/>
      <c r="K8" s="40"/>
      <c r="L8" s="41"/>
      <c r="M8" s="40"/>
      <c r="N8" s="41"/>
      <c r="O8" s="40"/>
      <c r="P8" s="41"/>
      <c r="Q8" s="40"/>
      <c r="R8" s="41"/>
      <c r="S8" s="40"/>
      <c r="T8" s="41"/>
      <c r="U8" s="40"/>
      <c r="V8" s="41"/>
      <c r="W8" s="40"/>
      <c r="X8" s="41"/>
      <c r="Y8" s="40"/>
      <c r="Z8" s="41"/>
      <c r="AA8" s="40"/>
      <c r="AB8" s="41"/>
      <c r="AC8" s="40"/>
      <c r="AD8" s="41"/>
      <c r="AE8" s="40"/>
      <c r="AF8" s="41"/>
      <c r="AG8" s="40"/>
      <c r="AH8" s="41"/>
      <c r="AI8" s="40"/>
      <c r="AJ8" s="41"/>
      <c r="AK8" s="40"/>
      <c r="AL8" s="41"/>
      <c r="AM8" s="40"/>
      <c r="AN8" s="41"/>
      <c r="AO8" s="40"/>
      <c r="AP8" s="41"/>
      <c r="AQ8" s="40"/>
      <c r="AR8" s="41"/>
      <c r="AS8" s="40"/>
      <c r="AT8" s="41"/>
      <c r="AU8" s="40"/>
      <c r="AV8" s="41"/>
      <c r="AW8" s="40"/>
      <c r="AX8" s="44"/>
      <c r="AY8" s="42"/>
      <c r="AZ8" s="4"/>
      <c r="BE8" s="66"/>
      <c r="BF8" s="4"/>
      <c r="BG8" s="66"/>
      <c r="BH8" s="4"/>
      <c r="BI8" s="66"/>
      <c r="BJ8" s="4"/>
      <c r="BK8" s="66"/>
    </row>
    <row r="9" spans="1:63" ht="18.95" customHeight="1" x14ac:dyDescent="0.25">
      <c r="A9" s="4"/>
      <c r="B9" s="119" t="s">
        <v>363</v>
      </c>
      <c r="C9" s="39"/>
      <c r="D9" s="38"/>
      <c r="E9" s="39"/>
      <c r="F9" s="38"/>
      <c r="G9" s="39"/>
      <c r="H9" s="38"/>
      <c r="I9" s="39"/>
      <c r="J9" s="38"/>
      <c r="K9" s="39"/>
      <c r="L9" s="38"/>
      <c r="M9" s="39"/>
      <c r="N9" s="38"/>
      <c r="O9" s="39"/>
      <c r="P9" s="38"/>
      <c r="Q9" s="39"/>
      <c r="R9" s="38"/>
      <c r="S9" s="39"/>
      <c r="T9" s="38"/>
      <c r="U9" s="32"/>
      <c r="V9" s="33"/>
      <c r="W9" s="32"/>
      <c r="X9" s="33"/>
      <c r="Y9" s="32"/>
      <c r="Z9" s="33"/>
      <c r="AA9" s="32"/>
      <c r="AB9" s="33"/>
      <c r="AC9" s="32"/>
      <c r="AD9" s="33"/>
      <c r="AE9" s="32"/>
      <c r="AF9" s="33"/>
      <c r="AG9" s="32"/>
      <c r="AH9" s="33"/>
      <c r="AI9" s="32"/>
      <c r="AJ9" s="33"/>
      <c r="AK9" s="32"/>
      <c r="AL9" s="33"/>
      <c r="AM9" s="32"/>
      <c r="AN9" s="33"/>
      <c r="AO9" s="32"/>
      <c r="AP9" s="33"/>
      <c r="AQ9" s="32"/>
      <c r="AR9" s="33"/>
      <c r="AS9" s="32"/>
      <c r="AT9" s="33"/>
      <c r="AU9" s="32"/>
      <c r="AV9" s="33"/>
      <c r="AW9" s="32"/>
      <c r="AX9" s="30"/>
      <c r="AY9" s="42"/>
      <c r="AZ9" s="4"/>
      <c r="BE9" s="65"/>
      <c r="BF9" s="4"/>
      <c r="BG9" s="65"/>
      <c r="BH9" s="4"/>
      <c r="BI9" s="65"/>
      <c r="BJ9" s="4"/>
      <c r="BK9" s="65"/>
    </row>
    <row r="10" spans="1:63" ht="18.95" customHeight="1" x14ac:dyDescent="0.25">
      <c r="A10" s="4"/>
      <c r="B10" s="120" t="s">
        <v>363</v>
      </c>
      <c r="C10" s="40"/>
      <c r="D10" s="41"/>
      <c r="E10" s="40"/>
      <c r="F10" s="41"/>
      <c r="G10" s="40"/>
      <c r="H10" s="41"/>
      <c r="I10" s="40"/>
      <c r="J10" s="41"/>
      <c r="K10" s="40"/>
      <c r="L10" s="41"/>
      <c r="M10" s="40"/>
      <c r="N10" s="41"/>
      <c r="O10" s="40"/>
      <c r="P10" s="41"/>
      <c r="Q10" s="40"/>
      <c r="R10" s="41"/>
      <c r="S10" s="40"/>
      <c r="T10" s="41"/>
      <c r="U10" s="34"/>
      <c r="V10" s="35"/>
      <c r="W10" s="34"/>
      <c r="X10" s="35"/>
      <c r="Y10" s="34"/>
      <c r="Z10" s="35"/>
      <c r="AA10" s="34"/>
      <c r="AB10" s="35"/>
      <c r="AC10" s="34"/>
      <c r="AD10" s="35"/>
      <c r="AE10" s="34"/>
      <c r="AF10" s="35"/>
      <c r="AG10" s="34"/>
      <c r="AH10" s="35"/>
      <c r="AI10" s="34"/>
      <c r="AJ10" s="35"/>
      <c r="AK10" s="34"/>
      <c r="AL10" s="35"/>
      <c r="AM10" s="34"/>
      <c r="AN10" s="35"/>
      <c r="AO10" s="34"/>
      <c r="AP10" s="35"/>
      <c r="AQ10" s="34"/>
      <c r="AR10" s="35"/>
      <c r="AS10" s="34"/>
      <c r="AT10" s="35"/>
      <c r="AU10" s="34"/>
      <c r="AV10" s="35"/>
      <c r="AW10" s="34"/>
      <c r="AX10" s="31"/>
      <c r="AY10" s="42"/>
      <c r="AZ10" s="4"/>
      <c r="BE10" s="66"/>
      <c r="BF10" s="4"/>
      <c r="BG10" s="66"/>
      <c r="BH10" s="4"/>
      <c r="BI10" s="66"/>
      <c r="BJ10" s="4"/>
      <c r="BK10" s="66"/>
    </row>
    <row r="11" spans="1:63" ht="18.95" customHeight="1" x14ac:dyDescent="0.25">
      <c r="A11" s="4"/>
      <c r="B11" s="119" t="s">
        <v>363</v>
      </c>
      <c r="C11" s="39"/>
      <c r="D11" s="38"/>
      <c r="E11" s="39"/>
      <c r="F11" s="38"/>
      <c r="G11" s="39"/>
      <c r="H11" s="38"/>
      <c r="I11" s="39"/>
      <c r="J11" s="38"/>
      <c r="K11" s="39"/>
      <c r="L11" s="38"/>
      <c r="M11" s="39"/>
      <c r="N11" s="38"/>
      <c r="O11" s="39"/>
      <c r="P11" s="38"/>
      <c r="Q11" s="39"/>
      <c r="R11" s="38"/>
      <c r="S11" s="39"/>
      <c r="T11" s="38"/>
      <c r="U11" s="32"/>
      <c r="V11" s="33"/>
      <c r="W11" s="32"/>
      <c r="X11" s="33"/>
      <c r="Y11" s="32"/>
      <c r="Z11" s="33"/>
      <c r="AA11" s="32"/>
      <c r="AB11" s="33"/>
      <c r="AC11" s="32"/>
      <c r="AD11" s="33"/>
      <c r="AE11" s="32"/>
      <c r="AF11" s="33"/>
      <c r="AG11" s="32"/>
      <c r="AH11" s="33"/>
      <c r="AI11" s="32"/>
      <c r="AJ11" s="33"/>
      <c r="AK11" s="32"/>
      <c r="AL11" s="33"/>
      <c r="AM11" s="32"/>
      <c r="AN11" s="33"/>
      <c r="AO11" s="32"/>
      <c r="AP11" s="33"/>
      <c r="AQ11" s="32"/>
      <c r="AR11" s="33"/>
      <c r="AS11" s="32"/>
      <c r="AT11" s="33"/>
      <c r="AU11" s="32"/>
      <c r="AV11" s="33"/>
      <c r="AW11" s="32"/>
      <c r="AX11" s="30"/>
      <c r="AY11" s="42"/>
      <c r="AZ11" s="4"/>
      <c r="BE11" s="65"/>
      <c r="BF11" s="4"/>
      <c r="BG11" s="65"/>
      <c r="BH11" s="4"/>
      <c r="BI11" s="65"/>
      <c r="BJ11" s="4"/>
      <c r="BK11" s="65"/>
    </row>
    <row r="12" spans="1:63" ht="18.95" customHeight="1" x14ac:dyDescent="0.25">
      <c r="A12" s="4"/>
      <c r="B12" s="120" t="s">
        <v>363</v>
      </c>
      <c r="C12" s="40"/>
      <c r="D12" s="41"/>
      <c r="E12" s="40"/>
      <c r="F12" s="41"/>
      <c r="G12" s="40"/>
      <c r="H12" s="41"/>
      <c r="I12" s="40"/>
      <c r="J12" s="41"/>
      <c r="K12" s="40"/>
      <c r="L12" s="41"/>
      <c r="M12" s="40"/>
      <c r="N12" s="41"/>
      <c r="O12" s="40"/>
      <c r="P12" s="41"/>
      <c r="Q12" s="40"/>
      <c r="R12" s="41"/>
      <c r="S12" s="40"/>
      <c r="T12" s="41"/>
      <c r="U12" s="40"/>
      <c r="V12" s="35"/>
      <c r="W12" s="34"/>
      <c r="X12" s="35"/>
      <c r="Y12" s="40"/>
      <c r="Z12" s="35"/>
      <c r="AA12" s="34"/>
      <c r="AB12" s="35"/>
      <c r="AC12" s="34"/>
      <c r="AD12" s="35"/>
      <c r="AE12" s="34"/>
      <c r="AF12" s="35"/>
      <c r="AG12" s="34"/>
      <c r="AH12" s="35"/>
      <c r="AI12" s="34"/>
      <c r="AJ12" s="35"/>
      <c r="AK12" s="34"/>
      <c r="AL12" s="35"/>
      <c r="AM12" s="34"/>
      <c r="AN12" s="35"/>
      <c r="AO12" s="34"/>
      <c r="AP12" s="35"/>
      <c r="AQ12" s="34"/>
      <c r="AR12" s="35"/>
      <c r="AS12" s="34"/>
      <c r="AT12" s="35"/>
      <c r="AU12" s="34"/>
      <c r="AV12" s="35"/>
      <c r="AW12" s="34"/>
      <c r="AX12" s="31"/>
      <c r="AY12" s="42"/>
      <c r="AZ12" s="4"/>
      <c r="BE12" s="66"/>
      <c r="BF12" s="4"/>
      <c r="BG12" s="66"/>
      <c r="BH12" s="4"/>
      <c r="BI12" s="66"/>
      <c r="BJ12" s="4"/>
      <c r="BK12" s="66"/>
    </row>
    <row r="13" spans="1:63" ht="18.95" customHeight="1" x14ac:dyDescent="0.25">
      <c r="A13" s="4"/>
      <c r="B13" s="119" t="s">
        <v>363</v>
      </c>
      <c r="C13" s="32"/>
      <c r="D13" s="33"/>
      <c r="E13" s="39"/>
      <c r="F13" s="38"/>
      <c r="G13" s="39"/>
      <c r="H13" s="38"/>
      <c r="I13" s="39"/>
      <c r="J13" s="38"/>
      <c r="K13" s="39"/>
      <c r="L13" s="38"/>
      <c r="M13" s="39"/>
      <c r="N13" s="38"/>
      <c r="O13" s="39"/>
      <c r="P13" s="38"/>
      <c r="Q13" s="39"/>
      <c r="R13" s="38"/>
      <c r="S13" s="39"/>
      <c r="T13" s="38"/>
      <c r="U13" s="32"/>
      <c r="V13" s="33"/>
      <c r="W13" s="39"/>
      <c r="X13" s="33"/>
      <c r="Y13" s="32"/>
      <c r="Z13" s="33"/>
      <c r="AA13" s="32"/>
      <c r="AB13" s="33"/>
      <c r="AC13" s="32"/>
      <c r="AD13" s="33"/>
      <c r="AE13" s="32"/>
      <c r="AF13" s="33"/>
      <c r="AG13" s="32"/>
      <c r="AH13" s="33"/>
      <c r="AI13" s="32"/>
      <c r="AJ13" s="33"/>
      <c r="AK13" s="32"/>
      <c r="AL13" s="33"/>
      <c r="AM13" s="32"/>
      <c r="AN13" s="33"/>
      <c r="AO13" s="32"/>
      <c r="AP13" s="33"/>
      <c r="AQ13" s="32"/>
      <c r="AR13" s="33"/>
      <c r="AS13" s="32"/>
      <c r="AT13" s="33"/>
      <c r="AU13" s="32"/>
      <c r="AV13" s="33"/>
      <c r="AW13" s="32"/>
      <c r="AX13" s="30"/>
      <c r="AY13" s="42"/>
      <c r="AZ13" s="4"/>
      <c r="BE13" s="65"/>
      <c r="BF13" s="134"/>
      <c r="BG13" s="65"/>
      <c r="BH13" s="134"/>
      <c r="BI13" s="65"/>
      <c r="BJ13" s="134"/>
      <c r="BK13" s="65"/>
    </row>
    <row r="14" spans="1:63" ht="18.95" customHeight="1" x14ac:dyDescent="0.25">
      <c r="A14" s="4"/>
      <c r="B14" s="120" t="s">
        <v>363</v>
      </c>
      <c r="C14" s="34"/>
      <c r="D14" s="35"/>
      <c r="E14" s="40"/>
      <c r="F14" s="41"/>
      <c r="G14" s="40"/>
      <c r="H14" s="41"/>
      <c r="I14" s="40"/>
      <c r="J14" s="41"/>
      <c r="K14" s="40"/>
      <c r="L14" s="41"/>
      <c r="M14" s="40"/>
      <c r="N14" s="41"/>
      <c r="O14" s="40"/>
      <c r="P14" s="41"/>
      <c r="Q14" s="40"/>
      <c r="R14" s="41"/>
      <c r="S14" s="40"/>
      <c r="T14" s="41"/>
      <c r="U14" s="34"/>
      <c r="V14" s="35"/>
      <c r="W14" s="34"/>
      <c r="X14" s="35"/>
      <c r="Y14" s="34"/>
      <c r="Z14" s="35"/>
      <c r="AA14" s="34"/>
      <c r="AB14" s="35"/>
      <c r="AC14" s="34"/>
      <c r="AD14" s="35"/>
      <c r="AE14" s="34"/>
      <c r="AF14" s="35"/>
      <c r="AG14" s="34"/>
      <c r="AH14" s="35"/>
      <c r="AI14" s="34"/>
      <c r="AJ14" s="35"/>
      <c r="AK14" s="34"/>
      <c r="AL14" s="35"/>
      <c r="AM14" s="34"/>
      <c r="AN14" s="35"/>
      <c r="AO14" s="34"/>
      <c r="AP14" s="35"/>
      <c r="AQ14" s="34"/>
      <c r="AR14" s="35"/>
      <c r="AS14" s="34"/>
      <c r="AT14" s="35"/>
      <c r="AU14" s="34"/>
      <c r="AV14" s="35"/>
      <c r="AW14" s="34"/>
      <c r="AX14" s="31"/>
      <c r="AY14" s="42"/>
      <c r="AZ14" s="4"/>
      <c r="BE14" s="66"/>
      <c r="BF14" s="134"/>
      <c r="BG14" s="66"/>
      <c r="BH14" s="134"/>
      <c r="BI14" s="66"/>
      <c r="BJ14" s="134"/>
      <c r="BK14" s="66"/>
    </row>
    <row r="15" spans="1:63" ht="18.95" customHeight="1" x14ac:dyDescent="0.25">
      <c r="A15" s="4"/>
      <c r="B15" s="119" t="s">
        <v>363</v>
      </c>
      <c r="C15" s="32"/>
      <c r="D15" s="33"/>
      <c r="E15" s="39"/>
      <c r="F15" s="38"/>
      <c r="G15" s="39"/>
      <c r="H15" s="38"/>
      <c r="I15" s="39"/>
      <c r="J15" s="38"/>
      <c r="K15" s="39"/>
      <c r="L15" s="38"/>
      <c r="M15" s="39"/>
      <c r="N15" s="38"/>
      <c r="O15" s="39"/>
      <c r="P15" s="38"/>
      <c r="Q15" s="39"/>
      <c r="R15" s="38"/>
      <c r="S15" s="39"/>
      <c r="T15" s="38"/>
      <c r="U15" s="32"/>
      <c r="V15" s="33"/>
      <c r="W15" s="32"/>
      <c r="X15" s="33"/>
      <c r="Y15" s="32"/>
      <c r="Z15" s="33"/>
      <c r="AA15" s="32"/>
      <c r="AB15" s="33"/>
      <c r="AC15" s="32"/>
      <c r="AD15" s="33"/>
      <c r="AE15" s="32"/>
      <c r="AF15" s="33"/>
      <c r="AG15" s="32"/>
      <c r="AH15" s="33"/>
      <c r="AI15" s="32"/>
      <c r="AJ15" s="33"/>
      <c r="AK15" s="32"/>
      <c r="AL15" s="33"/>
      <c r="AM15" s="32"/>
      <c r="AN15" s="33"/>
      <c r="AO15" s="32"/>
      <c r="AP15" s="33"/>
      <c r="AQ15" s="32"/>
      <c r="AR15" s="33"/>
      <c r="AS15" s="32"/>
      <c r="AT15" s="33"/>
      <c r="AU15" s="32"/>
      <c r="AV15" s="33"/>
      <c r="AW15" s="32"/>
      <c r="AX15" s="30"/>
      <c r="AY15" s="42"/>
      <c r="AZ15" s="4"/>
      <c r="BE15" s="65"/>
      <c r="BF15" s="134"/>
      <c r="BG15" s="65"/>
      <c r="BH15" s="134"/>
      <c r="BI15" s="65"/>
      <c r="BJ15" s="134"/>
      <c r="BK15" s="65"/>
    </row>
    <row r="16" spans="1:63" ht="18.95" customHeight="1" x14ac:dyDescent="0.25">
      <c r="A16" s="4"/>
      <c r="B16" s="120" t="s">
        <v>363</v>
      </c>
      <c r="C16" s="34"/>
      <c r="D16" s="35"/>
      <c r="E16" s="40"/>
      <c r="F16" s="41"/>
      <c r="G16" s="40"/>
      <c r="H16" s="41"/>
      <c r="I16" s="40"/>
      <c r="J16" s="41"/>
      <c r="K16" s="40"/>
      <c r="L16" s="41"/>
      <c r="M16" s="40"/>
      <c r="N16" s="41"/>
      <c r="O16" s="40"/>
      <c r="P16" s="41"/>
      <c r="Q16" s="40"/>
      <c r="R16" s="41"/>
      <c r="S16" s="40"/>
      <c r="T16" s="41"/>
      <c r="U16" s="34"/>
      <c r="V16" s="35"/>
      <c r="W16" s="34"/>
      <c r="X16" s="35"/>
      <c r="Y16" s="34"/>
      <c r="Z16" s="35"/>
      <c r="AA16" s="34"/>
      <c r="AB16" s="35"/>
      <c r="AC16" s="34"/>
      <c r="AD16" s="35"/>
      <c r="AE16" s="34"/>
      <c r="AF16" s="35"/>
      <c r="AG16" s="34"/>
      <c r="AH16" s="35"/>
      <c r="AI16" s="34"/>
      <c r="AJ16" s="35"/>
      <c r="AK16" s="34"/>
      <c r="AL16" s="35"/>
      <c r="AM16" s="34"/>
      <c r="AN16" s="35"/>
      <c r="AO16" s="34"/>
      <c r="AP16" s="35"/>
      <c r="AQ16" s="34"/>
      <c r="AR16" s="35"/>
      <c r="AS16" s="34"/>
      <c r="AT16" s="35"/>
      <c r="AU16" s="34"/>
      <c r="AV16" s="35"/>
      <c r="AW16" s="34"/>
      <c r="AX16" s="31"/>
      <c r="AY16" s="42"/>
      <c r="AZ16" s="4"/>
      <c r="BE16" s="66"/>
      <c r="BF16" s="134"/>
      <c r="BG16" s="66"/>
      <c r="BH16" s="134"/>
      <c r="BI16" s="66"/>
      <c r="BJ16" s="134"/>
      <c r="BK16" s="66"/>
    </row>
    <row r="17" spans="1:63" ht="18.95" customHeight="1" x14ac:dyDescent="0.25">
      <c r="A17" s="4"/>
      <c r="B17" s="336" t="s">
        <v>363</v>
      </c>
      <c r="C17" s="32"/>
      <c r="D17" s="33"/>
      <c r="E17" s="39"/>
      <c r="F17" s="38"/>
      <c r="G17" s="39"/>
      <c r="H17" s="38"/>
      <c r="I17" s="39"/>
      <c r="J17" s="38"/>
      <c r="K17" s="39"/>
      <c r="L17" s="38"/>
      <c r="M17" s="39"/>
      <c r="N17" s="38"/>
      <c r="O17" s="39"/>
      <c r="P17" s="38"/>
      <c r="Q17" s="39"/>
      <c r="R17" s="38"/>
      <c r="S17" s="39"/>
      <c r="T17" s="38"/>
      <c r="U17" s="32"/>
      <c r="V17" s="33"/>
      <c r="W17" s="32"/>
      <c r="X17" s="33"/>
      <c r="Y17" s="32"/>
      <c r="Z17" s="33"/>
      <c r="AA17" s="32"/>
      <c r="AB17" s="33"/>
      <c r="AC17" s="32"/>
      <c r="AD17" s="33"/>
      <c r="AE17" s="32"/>
      <c r="AF17" s="33"/>
      <c r="AG17" s="32"/>
      <c r="AH17" s="33"/>
      <c r="AI17" s="32"/>
      <c r="AJ17" s="33"/>
      <c r="AK17" s="32"/>
      <c r="AL17" s="33"/>
      <c r="AM17" s="32"/>
      <c r="AN17" s="33"/>
      <c r="AO17" s="32"/>
      <c r="AP17" s="33"/>
      <c r="AQ17" s="32"/>
      <c r="AR17" s="33"/>
      <c r="AS17" s="32"/>
      <c r="AT17" s="33"/>
      <c r="AU17" s="32"/>
      <c r="AV17" s="33"/>
      <c r="AW17" s="32"/>
      <c r="AX17" s="30"/>
      <c r="AY17" s="42"/>
      <c r="AZ17" s="4"/>
      <c r="BE17" s="65"/>
      <c r="BF17" s="134"/>
      <c r="BG17" s="65"/>
      <c r="BH17" s="134"/>
      <c r="BI17" s="65"/>
      <c r="BJ17" s="134"/>
      <c r="BK17" s="65"/>
    </row>
    <row r="18" spans="1:63" ht="18.95" customHeight="1" x14ac:dyDescent="0.25">
      <c r="A18" s="4"/>
      <c r="B18" s="120" t="s">
        <v>363</v>
      </c>
      <c r="C18" s="34"/>
      <c r="D18" s="35"/>
      <c r="E18" s="40"/>
      <c r="F18" s="41"/>
      <c r="G18" s="40"/>
      <c r="H18" s="41"/>
      <c r="I18" s="40"/>
      <c r="J18" s="41"/>
      <c r="K18" s="40"/>
      <c r="L18" s="41"/>
      <c r="M18" s="40"/>
      <c r="N18" s="41"/>
      <c r="O18" s="40"/>
      <c r="P18" s="41"/>
      <c r="Q18" s="40"/>
      <c r="R18" s="41"/>
      <c r="S18" s="40"/>
      <c r="T18" s="41"/>
      <c r="U18" s="34"/>
      <c r="V18" s="35"/>
      <c r="W18" s="34"/>
      <c r="X18" s="35"/>
      <c r="Y18" s="34"/>
      <c r="Z18" s="35"/>
      <c r="AA18" s="34"/>
      <c r="AB18" s="35"/>
      <c r="AC18" s="34"/>
      <c r="AD18" s="35"/>
      <c r="AE18" s="34"/>
      <c r="AF18" s="35"/>
      <c r="AG18" s="34"/>
      <c r="AH18" s="35"/>
      <c r="AI18" s="34"/>
      <c r="AJ18" s="35"/>
      <c r="AK18" s="34"/>
      <c r="AL18" s="35"/>
      <c r="AM18" s="34"/>
      <c r="AN18" s="35"/>
      <c r="AO18" s="34"/>
      <c r="AP18" s="35"/>
      <c r="AQ18" s="34"/>
      <c r="AR18" s="35"/>
      <c r="AS18" s="34"/>
      <c r="AT18" s="35"/>
      <c r="AU18" s="34"/>
      <c r="AV18" s="35"/>
      <c r="AW18" s="34"/>
      <c r="AX18" s="31"/>
      <c r="AY18" s="42"/>
      <c r="AZ18" s="4"/>
      <c r="BE18" s="66"/>
      <c r="BF18" s="134"/>
      <c r="BG18" s="66"/>
      <c r="BH18" s="134"/>
      <c r="BI18" s="66"/>
      <c r="BJ18" s="134"/>
      <c r="BK18" s="66"/>
    </row>
    <row r="19" spans="1:63" ht="18.95" customHeight="1" x14ac:dyDescent="0.25">
      <c r="A19" s="4"/>
      <c r="B19" s="119" t="s">
        <v>363</v>
      </c>
      <c r="C19" s="32"/>
      <c r="D19" s="33"/>
      <c r="E19" s="39"/>
      <c r="F19" s="38"/>
      <c r="G19" s="39"/>
      <c r="H19" s="38"/>
      <c r="I19" s="39"/>
      <c r="J19" s="38"/>
      <c r="K19" s="39"/>
      <c r="L19" s="38"/>
      <c r="M19" s="39"/>
      <c r="N19" s="38"/>
      <c r="O19" s="39"/>
      <c r="P19" s="38"/>
      <c r="Q19" s="39"/>
      <c r="R19" s="38"/>
      <c r="S19" s="39"/>
      <c r="T19" s="38"/>
      <c r="U19" s="39"/>
      <c r="V19" s="33"/>
      <c r="W19" s="32"/>
      <c r="X19" s="33"/>
      <c r="Y19" s="32"/>
      <c r="Z19" s="33"/>
      <c r="AA19" s="32"/>
      <c r="AB19" s="33"/>
      <c r="AC19" s="32"/>
      <c r="AD19" s="33"/>
      <c r="AE19" s="32"/>
      <c r="AF19" s="33"/>
      <c r="AG19" s="32"/>
      <c r="AH19" s="33"/>
      <c r="AI19" s="32"/>
      <c r="AJ19" s="33"/>
      <c r="AK19" s="32"/>
      <c r="AL19" s="33"/>
      <c r="AM19" s="32"/>
      <c r="AN19" s="33"/>
      <c r="AO19" s="32"/>
      <c r="AP19" s="33"/>
      <c r="AQ19" s="32"/>
      <c r="AR19" s="33"/>
      <c r="AS19" s="32"/>
      <c r="AT19" s="33"/>
      <c r="AU19" s="32"/>
      <c r="AV19" s="33"/>
      <c r="AW19" s="32"/>
      <c r="AX19" s="30"/>
      <c r="AY19" s="42"/>
      <c r="AZ19" s="4"/>
      <c r="BE19" s="65"/>
      <c r="BF19" s="134"/>
      <c r="BG19" s="65"/>
      <c r="BH19" s="134"/>
      <c r="BI19" s="65"/>
      <c r="BJ19" s="134"/>
      <c r="BK19" s="65"/>
    </row>
    <row r="20" spans="1:63" ht="18.95" customHeight="1" x14ac:dyDescent="0.25">
      <c r="A20" s="4"/>
      <c r="B20" s="120" t="s">
        <v>363</v>
      </c>
      <c r="C20" s="40"/>
      <c r="D20" s="35"/>
      <c r="E20" s="40"/>
      <c r="F20" s="41"/>
      <c r="G20" s="40"/>
      <c r="H20" s="41"/>
      <c r="I20" s="40"/>
      <c r="J20" s="35"/>
      <c r="K20" s="40"/>
      <c r="L20" s="41"/>
      <c r="M20" s="34"/>
      <c r="N20" s="35"/>
      <c r="O20" s="34"/>
      <c r="P20" s="41"/>
      <c r="Q20" s="34"/>
      <c r="R20" s="35"/>
      <c r="S20" s="34"/>
      <c r="T20" s="35"/>
      <c r="U20" s="40"/>
      <c r="V20" s="41"/>
      <c r="W20" s="34"/>
      <c r="X20" s="35"/>
      <c r="Y20" s="34"/>
      <c r="Z20" s="35"/>
      <c r="AA20" s="34"/>
      <c r="AB20" s="35"/>
      <c r="AC20" s="34"/>
      <c r="AD20" s="35"/>
      <c r="AE20" s="34"/>
      <c r="AF20" s="35"/>
      <c r="AG20" s="34"/>
      <c r="AH20" s="35"/>
      <c r="AI20" s="34"/>
      <c r="AJ20" s="35"/>
      <c r="AK20" s="34"/>
      <c r="AL20" s="35"/>
      <c r="AM20" s="34"/>
      <c r="AN20" s="35"/>
      <c r="AO20" s="34"/>
      <c r="AP20" s="35"/>
      <c r="AQ20" s="34"/>
      <c r="AR20" s="35"/>
      <c r="AS20" s="34"/>
      <c r="AT20" s="35"/>
      <c r="AU20" s="34"/>
      <c r="AV20" s="35"/>
      <c r="AW20" s="34"/>
      <c r="AX20" s="31"/>
      <c r="AY20" s="42"/>
      <c r="AZ20" s="4"/>
      <c r="BE20" s="66"/>
      <c r="BF20" s="134"/>
      <c r="BG20" s="66"/>
      <c r="BH20" s="134"/>
      <c r="BI20" s="66"/>
      <c r="BJ20" s="134"/>
      <c r="BK20" s="66"/>
    </row>
    <row r="21" spans="1:63" ht="18.95" customHeight="1" x14ac:dyDescent="0.25">
      <c r="A21" s="4"/>
      <c r="B21" s="119" t="s">
        <v>363</v>
      </c>
      <c r="C21" s="32"/>
      <c r="D21" s="33"/>
      <c r="E21" s="39"/>
      <c r="F21" s="38"/>
      <c r="G21" s="39"/>
      <c r="H21" s="38"/>
      <c r="I21" s="39"/>
      <c r="J21" s="38"/>
      <c r="K21" s="39"/>
      <c r="L21" s="38"/>
      <c r="M21" s="39"/>
      <c r="N21" s="38"/>
      <c r="O21" s="39"/>
      <c r="P21" s="38"/>
      <c r="Q21" s="39"/>
      <c r="R21" s="38"/>
      <c r="S21" s="39"/>
      <c r="T21" s="38"/>
      <c r="U21" s="32"/>
      <c r="V21" s="33"/>
      <c r="W21" s="32"/>
      <c r="X21" s="33"/>
      <c r="Y21" s="32"/>
      <c r="Z21" s="33"/>
      <c r="AA21" s="32"/>
      <c r="AB21" s="33"/>
      <c r="AC21" s="32"/>
      <c r="AD21" s="33"/>
      <c r="AE21" s="32"/>
      <c r="AF21" s="33"/>
      <c r="AG21" s="32"/>
      <c r="AH21" s="33"/>
      <c r="AI21" s="32"/>
      <c r="AJ21" s="33"/>
      <c r="AK21" s="32"/>
      <c r="AL21" s="33"/>
      <c r="AM21" s="32"/>
      <c r="AN21" s="33"/>
      <c r="AO21" s="32"/>
      <c r="AP21" s="33"/>
      <c r="AQ21" s="32"/>
      <c r="AR21" s="33"/>
      <c r="AS21" s="32"/>
      <c r="AT21" s="33"/>
      <c r="AU21" s="32"/>
      <c r="AV21" s="33"/>
      <c r="AW21" s="32"/>
      <c r="AX21" s="30"/>
      <c r="AY21" s="42"/>
      <c r="AZ21" s="4"/>
      <c r="BE21" s="65"/>
      <c r="BF21" s="134"/>
      <c r="BG21" s="65"/>
      <c r="BH21" s="134"/>
      <c r="BI21" s="65"/>
      <c r="BJ21" s="134"/>
      <c r="BK21" s="65"/>
    </row>
    <row r="22" spans="1:63" ht="18.95" customHeight="1" x14ac:dyDescent="0.25">
      <c r="A22" s="4"/>
      <c r="B22" s="120" t="s">
        <v>363</v>
      </c>
      <c r="C22" s="34"/>
      <c r="D22" s="35"/>
      <c r="E22" s="40"/>
      <c r="F22" s="41"/>
      <c r="G22" s="40"/>
      <c r="H22" s="41"/>
      <c r="I22" s="40"/>
      <c r="J22" s="41"/>
      <c r="K22" s="40"/>
      <c r="L22" s="41"/>
      <c r="M22" s="40"/>
      <c r="N22" s="41"/>
      <c r="O22" s="40"/>
      <c r="P22" s="41"/>
      <c r="Q22" s="40"/>
      <c r="R22" s="41"/>
      <c r="S22" s="40"/>
      <c r="T22" s="41"/>
      <c r="U22" s="40"/>
      <c r="V22" s="41"/>
      <c r="W22" s="34"/>
      <c r="X22" s="41"/>
      <c r="Y22" s="34"/>
      <c r="Z22" s="35"/>
      <c r="AA22" s="34"/>
      <c r="AB22" s="35"/>
      <c r="AC22" s="34"/>
      <c r="AD22" s="35"/>
      <c r="AE22" s="34"/>
      <c r="AF22" s="35"/>
      <c r="AG22" s="34"/>
      <c r="AH22" s="35"/>
      <c r="AI22" s="34"/>
      <c r="AJ22" s="35"/>
      <c r="AK22" s="34"/>
      <c r="AL22" s="35"/>
      <c r="AM22" s="34"/>
      <c r="AN22" s="35"/>
      <c r="AO22" s="34"/>
      <c r="AP22" s="35"/>
      <c r="AQ22" s="34"/>
      <c r="AR22" s="35"/>
      <c r="AS22" s="34"/>
      <c r="AT22" s="35"/>
      <c r="AU22" s="34"/>
      <c r="AV22" s="35"/>
      <c r="AW22" s="34"/>
      <c r="AX22" s="31"/>
      <c r="AY22" s="42"/>
      <c r="AZ22" s="4"/>
      <c r="BE22" s="66"/>
      <c r="BF22" s="134"/>
      <c r="BG22" s="66"/>
      <c r="BH22" s="134"/>
      <c r="BI22" s="66"/>
      <c r="BJ22" s="134"/>
      <c r="BK22" s="66"/>
    </row>
    <row r="23" spans="1:63" ht="18.95" customHeight="1" x14ac:dyDescent="0.25">
      <c r="A23" s="4"/>
      <c r="B23" s="119" t="s">
        <v>363</v>
      </c>
      <c r="C23" s="32"/>
      <c r="D23" s="38"/>
      <c r="E23" s="39"/>
      <c r="F23" s="38"/>
      <c r="G23" s="39"/>
      <c r="H23" s="38"/>
      <c r="I23" s="39"/>
      <c r="J23" s="38"/>
      <c r="K23" s="39"/>
      <c r="L23" s="38"/>
      <c r="M23" s="39"/>
      <c r="N23" s="38"/>
      <c r="O23" s="39"/>
      <c r="P23" s="38"/>
      <c r="Q23" s="39"/>
      <c r="R23" s="38"/>
      <c r="S23" s="39"/>
      <c r="T23" s="38"/>
      <c r="U23" s="39"/>
      <c r="V23" s="38"/>
      <c r="W23" s="32"/>
      <c r="X23" s="33"/>
      <c r="Y23" s="32"/>
      <c r="Z23" s="33"/>
      <c r="AA23" s="32"/>
      <c r="AB23" s="33"/>
      <c r="AC23" s="32"/>
      <c r="AD23" s="33"/>
      <c r="AE23" s="32"/>
      <c r="AF23" s="33"/>
      <c r="AG23" s="32"/>
      <c r="AH23" s="33"/>
      <c r="AI23" s="32"/>
      <c r="AJ23" s="33"/>
      <c r="AK23" s="32"/>
      <c r="AL23" s="33"/>
      <c r="AM23" s="32"/>
      <c r="AN23" s="33"/>
      <c r="AO23" s="32"/>
      <c r="AP23" s="33"/>
      <c r="AQ23" s="32"/>
      <c r="AR23" s="33"/>
      <c r="AS23" s="32"/>
      <c r="AT23" s="33"/>
      <c r="AU23" s="32"/>
      <c r="AV23" s="33"/>
      <c r="AW23" s="32"/>
      <c r="AX23" s="30"/>
      <c r="AY23" s="42"/>
      <c r="AZ23" s="4"/>
      <c r="BE23" s="65"/>
      <c r="BF23" s="134"/>
      <c r="BG23" s="65"/>
      <c r="BH23" s="134"/>
      <c r="BI23" s="65"/>
      <c r="BJ23" s="134"/>
      <c r="BK23" s="65"/>
    </row>
    <row r="24" spans="1:63" ht="18.95" customHeight="1" x14ac:dyDescent="0.25">
      <c r="A24" s="4"/>
      <c r="B24" s="120" t="s">
        <v>363</v>
      </c>
      <c r="C24" s="34"/>
      <c r="D24" s="35"/>
      <c r="E24" s="40"/>
      <c r="F24" s="41"/>
      <c r="G24" s="40"/>
      <c r="H24" s="41"/>
      <c r="I24" s="40"/>
      <c r="J24" s="41"/>
      <c r="K24" s="40"/>
      <c r="L24" s="41"/>
      <c r="M24" s="40"/>
      <c r="N24" s="41"/>
      <c r="O24" s="40"/>
      <c r="P24" s="41"/>
      <c r="Q24" s="40"/>
      <c r="R24" s="41"/>
      <c r="S24" s="40"/>
      <c r="T24" s="41"/>
      <c r="U24" s="40"/>
      <c r="V24" s="41"/>
      <c r="W24" s="40"/>
      <c r="X24" s="35"/>
      <c r="Y24" s="34"/>
      <c r="Z24" s="35"/>
      <c r="AA24" s="34"/>
      <c r="AB24" s="35"/>
      <c r="AC24" s="34"/>
      <c r="AD24" s="35"/>
      <c r="AE24" s="34"/>
      <c r="AF24" s="35"/>
      <c r="AG24" s="34"/>
      <c r="AH24" s="35"/>
      <c r="AI24" s="34"/>
      <c r="AJ24" s="35"/>
      <c r="AK24" s="34"/>
      <c r="AL24" s="35"/>
      <c r="AM24" s="34"/>
      <c r="AN24" s="35"/>
      <c r="AO24" s="34"/>
      <c r="AP24" s="35"/>
      <c r="AQ24" s="34"/>
      <c r="AR24" s="35"/>
      <c r="AS24" s="34"/>
      <c r="AT24" s="35"/>
      <c r="AU24" s="34"/>
      <c r="AV24" s="35"/>
      <c r="AW24" s="34"/>
      <c r="AX24" s="31"/>
      <c r="AY24" s="42"/>
      <c r="AZ24" s="4"/>
      <c r="BE24" s="66"/>
      <c r="BF24" s="134"/>
      <c r="BG24" s="66"/>
      <c r="BH24" s="134"/>
      <c r="BI24" s="66"/>
      <c r="BJ24" s="134"/>
      <c r="BK24" s="66"/>
    </row>
    <row r="25" spans="1:63" ht="18.95" customHeight="1" x14ac:dyDescent="0.25">
      <c r="A25" s="4"/>
      <c r="B25" s="119" t="s">
        <v>363</v>
      </c>
      <c r="C25" s="32"/>
      <c r="D25" s="33"/>
      <c r="E25" s="39"/>
      <c r="F25" s="38"/>
      <c r="G25" s="39"/>
      <c r="H25" s="38"/>
      <c r="I25" s="39"/>
      <c r="J25" s="33"/>
      <c r="K25" s="39"/>
      <c r="L25" s="38"/>
      <c r="M25" s="32"/>
      <c r="N25" s="33"/>
      <c r="O25" s="32"/>
      <c r="P25" s="33"/>
      <c r="Q25" s="32"/>
      <c r="R25" s="33"/>
      <c r="S25" s="32"/>
      <c r="T25" s="33"/>
      <c r="U25" s="32"/>
      <c r="V25" s="33"/>
      <c r="W25" s="32"/>
      <c r="X25" s="33"/>
      <c r="Y25" s="32"/>
      <c r="Z25" s="33"/>
      <c r="AA25" s="32"/>
      <c r="AB25" s="33"/>
      <c r="AC25" s="32"/>
      <c r="AD25" s="33"/>
      <c r="AE25" s="32"/>
      <c r="AF25" s="33"/>
      <c r="AG25" s="32"/>
      <c r="AH25" s="33"/>
      <c r="AI25" s="32"/>
      <c r="AJ25" s="33"/>
      <c r="AK25" s="32"/>
      <c r="AL25" s="33"/>
      <c r="AM25" s="32"/>
      <c r="AN25" s="33"/>
      <c r="AO25" s="32"/>
      <c r="AP25" s="33"/>
      <c r="AQ25" s="32"/>
      <c r="AR25" s="33"/>
      <c r="AS25" s="32"/>
      <c r="AT25" s="33"/>
      <c r="AU25" s="32"/>
      <c r="AV25" s="33"/>
      <c r="AW25" s="32"/>
      <c r="AX25" s="30"/>
      <c r="AY25" s="42"/>
      <c r="AZ25" s="4"/>
      <c r="BE25" s="65"/>
      <c r="BF25" s="134"/>
      <c r="BG25" s="65"/>
      <c r="BH25" s="134"/>
      <c r="BI25" s="65"/>
      <c r="BJ25" s="134"/>
      <c r="BK25" s="65"/>
    </row>
    <row r="26" spans="1:63" ht="18.95" customHeight="1" x14ac:dyDescent="0.25">
      <c r="A26" s="4"/>
      <c r="B26" s="120" t="s">
        <v>363</v>
      </c>
      <c r="C26" s="34"/>
      <c r="D26" s="35"/>
      <c r="E26" s="40"/>
      <c r="F26" s="41"/>
      <c r="G26" s="40"/>
      <c r="H26" s="41"/>
      <c r="I26" s="40"/>
      <c r="J26" s="35"/>
      <c r="K26" s="40"/>
      <c r="L26" s="41"/>
      <c r="M26" s="34"/>
      <c r="N26" s="35"/>
      <c r="O26" s="34"/>
      <c r="P26" s="35"/>
      <c r="Q26" s="34"/>
      <c r="R26" s="35"/>
      <c r="S26" s="34"/>
      <c r="T26" s="35"/>
      <c r="U26" s="34"/>
      <c r="V26" s="35"/>
      <c r="W26" s="34"/>
      <c r="X26" s="35"/>
      <c r="Y26" s="34"/>
      <c r="Z26" s="35"/>
      <c r="AA26" s="34"/>
      <c r="AB26" s="35"/>
      <c r="AC26" s="34"/>
      <c r="AD26" s="35"/>
      <c r="AE26" s="34"/>
      <c r="AF26" s="35"/>
      <c r="AG26" s="34"/>
      <c r="AH26" s="35"/>
      <c r="AI26" s="34"/>
      <c r="AJ26" s="35"/>
      <c r="AK26" s="34"/>
      <c r="AL26" s="35"/>
      <c r="AM26" s="34"/>
      <c r="AN26" s="35"/>
      <c r="AO26" s="34"/>
      <c r="AP26" s="35"/>
      <c r="AQ26" s="34"/>
      <c r="AR26" s="35"/>
      <c r="AS26" s="34"/>
      <c r="AT26" s="35"/>
      <c r="AU26" s="34"/>
      <c r="AV26" s="35"/>
      <c r="AW26" s="34"/>
      <c r="AX26" s="31"/>
      <c r="AY26" s="42"/>
      <c r="AZ26" s="4"/>
      <c r="BE26" s="66"/>
      <c r="BF26" s="134"/>
      <c r="BG26" s="66"/>
      <c r="BH26" s="134"/>
      <c r="BI26" s="66"/>
      <c r="BJ26" s="134"/>
      <c r="BK26" s="66"/>
    </row>
    <row r="27" spans="1:63" ht="18.95" customHeight="1" x14ac:dyDescent="0.25">
      <c r="A27" s="4"/>
      <c r="B27" s="119" t="s">
        <v>363</v>
      </c>
      <c r="C27" s="32"/>
      <c r="D27" s="33"/>
      <c r="E27" s="39"/>
      <c r="F27" s="38"/>
      <c r="G27" s="39"/>
      <c r="H27" s="38"/>
      <c r="I27" s="39"/>
      <c r="J27" s="33"/>
      <c r="K27" s="39"/>
      <c r="L27" s="38"/>
      <c r="M27" s="32"/>
      <c r="N27" s="33"/>
      <c r="O27" s="32"/>
      <c r="P27" s="33"/>
      <c r="Q27" s="32"/>
      <c r="R27" s="33"/>
      <c r="S27" s="39"/>
      <c r="T27" s="33"/>
      <c r="U27" s="32"/>
      <c r="V27" s="33"/>
      <c r="W27" s="32"/>
      <c r="X27" s="33"/>
      <c r="Y27" s="32"/>
      <c r="Z27" s="33"/>
      <c r="AA27" s="32"/>
      <c r="AB27" s="33"/>
      <c r="AC27" s="32"/>
      <c r="AD27" s="33"/>
      <c r="AE27" s="32"/>
      <c r="AF27" s="33"/>
      <c r="AG27" s="32"/>
      <c r="AH27" s="33"/>
      <c r="AI27" s="32"/>
      <c r="AJ27" s="33"/>
      <c r="AK27" s="32"/>
      <c r="AL27" s="33"/>
      <c r="AM27" s="32"/>
      <c r="AN27" s="33"/>
      <c r="AO27" s="32"/>
      <c r="AP27" s="33"/>
      <c r="AQ27" s="32"/>
      <c r="AR27" s="33"/>
      <c r="AS27" s="32"/>
      <c r="AT27" s="33"/>
      <c r="AU27" s="32"/>
      <c r="AV27" s="33"/>
      <c r="AW27" s="32"/>
      <c r="AX27" s="30"/>
      <c r="AY27" s="42"/>
      <c r="AZ27" s="4"/>
      <c r="BE27" s="65"/>
      <c r="BF27" s="134"/>
      <c r="BG27" s="65"/>
      <c r="BH27" s="134"/>
      <c r="BI27" s="65"/>
      <c r="BJ27" s="134"/>
      <c r="BK27" s="65"/>
    </row>
    <row r="28" spans="1:63" ht="18.95" customHeight="1" x14ac:dyDescent="0.25">
      <c r="A28" s="4"/>
      <c r="B28" s="120" t="s">
        <v>363</v>
      </c>
      <c r="C28" s="34"/>
      <c r="D28" s="35"/>
      <c r="E28" s="40"/>
      <c r="F28" s="41"/>
      <c r="G28" s="40"/>
      <c r="H28" s="41"/>
      <c r="I28" s="40"/>
      <c r="J28" s="35"/>
      <c r="K28" s="40"/>
      <c r="L28" s="41"/>
      <c r="M28" s="34"/>
      <c r="N28" s="35"/>
      <c r="O28" s="34"/>
      <c r="P28" s="35"/>
      <c r="Q28" s="34"/>
      <c r="R28" s="35"/>
      <c r="S28" s="34"/>
      <c r="T28" s="35"/>
      <c r="U28" s="34"/>
      <c r="V28" s="35"/>
      <c r="W28" s="34"/>
      <c r="X28" s="35"/>
      <c r="Y28" s="34"/>
      <c r="Z28" s="35"/>
      <c r="AA28" s="34"/>
      <c r="AB28" s="35"/>
      <c r="AC28" s="34"/>
      <c r="AD28" s="35"/>
      <c r="AE28" s="34"/>
      <c r="AF28" s="35"/>
      <c r="AG28" s="34"/>
      <c r="AH28" s="35"/>
      <c r="AI28" s="34"/>
      <c r="AJ28" s="35"/>
      <c r="AK28" s="34"/>
      <c r="AL28" s="35"/>
      <c r="AM28" s="34"/>
      <c r="AN28" s="35"/>
      <c r="AO28" s="34"/>
      <c r="AP28" s="35"/>
      <c r="AQ28" s="34"/>
      <c r="AR28" s="35"/>
      <c r="AS28" s="34"/>
      <c r="AT28" s="35"/>
      <c r="AU28" s="34"/>
      <c r="AV28" s="35"/>
      <c r="AW28" s="34"/>
      <c r="AX28" s="31"/>
      <c r="AY28" s="42"/>
      <c r="AZ28" s="4"/>
      <c r="BE28" s="66"/>
      <c r="BF28" s="134"/>
      <c r="BG28" s="66"/>
      <c r="BH28" s="134"/>
      <c r="BI28" s="66"/>
      <c r="BJ28" s="134"/>
      <c r="BK28" s="66"/>
    </row>
    <row r="29" spans="1:63" ht="18.95" customHeight="1" x14ac:dyDescent="0.25">
      <c r="A29" s="4"/>
      <c r="B29" s="119" t="s">
        <v>363</v>
      </c>
      <c r="C29" s="32"/>
      <c r="D29" s="33"/>
      <c r="E29" s="39"/>
      <c r="F29" s="38"/>
      <c r="G29" s="39"/>
      <c r="H29" s="38"/>
      <c r="I29" s="39"/>
      <c r="J29" s="33"/>
      <c r="K29" s="39"/>
      <c r="L29" s="38"/>
      <c r="M29" s="32"/>
      <c r="N29" s="33"/>
      <c r="O29" s="32"/>
      <c r="P29" s="33"/>
      <c r="Q29" s="32"/>
      <c r="R29" s="33"/>
      <c r="S29" s="32"/>
      <c r="T29" s="33"/>
      <c r="U29" s="32"/>
      <c r="V29" s="33"/>
      <c r="W29" s="32"/>
      <c r="X29" s="33"/>
      <c r="Y29" s="32"/>
      <c r="Z29" s="33"/>
      <c r="AA29" s="32"/>
      <c r="AB29" s="33"/>
      <c r="AC29" s="32"/>
      <c r="AD29" s="33"/>
      <c r="AE29" s="32"/>
      <c r="AF29" s="33"/>
      <c r="AG29" s="32"/>
      <c r="AH29" s="33"/>
      <c r="AI29" s="32"/>
      <c r="AJ29" s="33"/>
      <c r="AK29" s="32"/>
      <c r="AL29" s="33"/>
      <c r="AM29" s="32"/>
      <c r="AN29" s="33"/>
      <c r="AO29" s="32"/>
      <c r="AP29" s="33"/>
      <c r="AQ29" s="32"/>
      <c r="AR29" s="33"/>
      <c r="AS29" s="32"/>
      <c r="AT29" s="33"/>
      <c r="AU29" s="32"/>
      <c r="AV29" s="33"/>
      <c r="AW29" s="32"/>
      <c r="AX29" s="30"/>
      <c r="AY29" s="42"/>
      <c r="AZ29" s="4"/>
      <c r="BE29" s="65"/>
      <c r="BF29" s="134"/>
      <c r="BG29" s="65"/>
      <c r="BH29" s="134"/>
      <c r="BI29" s="65"/>
      <c r="BJ29" s="134"/>
      <c r="BK29" s="65"/>
    </row>
    <row r="30" spans="1:63" ht="18.95" customHeight="1" x14ac:dyDescent="0.25">
      <c r="A30" s="4"/>
      <c r="B30" s="120" t="s">
        <v>363</v>
      </c>
      <c r="C30" s="34"/>
      <c r="D30" s="35"/>
      <c r="E30" s="40"/>
      <c r="F30" s="41"/>
      <c r="G30" s="40"/>
      <c r="H30" s="41"/>
      <c r="I30" s="40"/>
      <c r="J30" s="35"/>
      <c r="K30" s="40"/>
      <c r="L30" s="41"/>
      <c r="M30" s="34"/>
      <c r="N30" s="35"/>
      <c r="O30" s="34"/>
      <c r="P30" s="35"/>
      <c r="Q30" s="34"/>
      <c r="R30" s="35"/>
      <c r="S30" s="34"/>
      <c r="T30" s="35"/>
      <c r="U30" s="34"/>
      <c r="V30" s="35"/>
      <c r="W30" s="34"/>
      <c r="X30" s="35"/>
      <c r="Y30" s="34"/>
      <c r="Z30" s="35"/>
      <c r="AA30" s="34"/>
      <c r="AB30" s="35"/>
      <c r="AC30" s="34"/>
      <c r="AD30" s="35"/>
      <c r="AE30" s="34"/>
      <c r="AF30" s="35"/>
      <c r="AG30" s="34"/>
      <c r="AH30" s="35"/>
      <c r="AI30" s="34"/>
      <c r="AJ30" s="35"/>
      <c r="AK30" s="34"/>
      <c r="AL30" s="35"/>
      <c r="AM30" s="34"/>
      <c r="AN30" s="35"/>
      <c r="AO30" s="34"/>
      <c r="AP30" s="35"/>
      <c r="AQ30" s="34"/>
      <c r="AR30" s="35"/>
      <c r="AS30" s="34"/>
      <c r="AT30" s="35"/>
      <c r="AU30" s="34"/>
      <c r="AV30" s="35"/>
      <c r="AW30" s="34"/>
      <c r="AX30" s="31"/>
      <c r="AY30" s="42"/>
      <c r="AZ30" s="4"/>
      <c r="BE30" s="66"/>
      <c r="BF30" s="134"/>
      <c r="BG30" s="66"/>
      <c r="BH30" s="134"/>
      <c r="BI30" s="66"/>
      <c r="BJ30" s="134"/>
      <c r="BK30" s="66"/>
    </row>
    <row r="31" spans="1:63" ht="18.95" customHeight="1" x14ac:dyDescent="0.25">
      <c r="A31" s="4"/>
      <c r="B31" s="119" t="s">
        <v>363</v>
      </c>
      <c r="C31" s="32"/>
      <c r="D31" s="33"/>
      <c r="E31" s="39"/>
      <c r="F31" s="38"/>
      <c r="G31" s="39"/>
      <c r="H31" s="38"/>
      <c r="I31" s="39"/>
      <c r="J31" s="33"/>
      <c r="K31" s="39"/>
      <c r="L31" s="38"/>
      <c r="M31" s="32"/>
      <c r="N31" s="33"/>
      <c r="O31" s="32"/>
      <c r="P31" s="33"/>
      <c r="Q31" s="32"/>
      <c r="R31" s="33"/>
      <c r="S31" s="32"/>
      <c r="T31" s="33"/>
      <c r="U31" s="32"/>
      <c r="V31" s="33"/>
      <c r="W31" s="32"/>
      <c r="X31" s="33"/>
      <c r="Y31" s="32"/>
      <c r="Z31" s="33"/>
      <c r="AA31" s="32"/>
      <c r="AB31" s="33"/>
      <c r="AC31" s="32"/>
      <c r="AD31" s="33"/>
      <c r="AE31" s="32"/>
      <c r="AF31" s="33"/>
      <c r="AG31" s="32"/>
      <c r="AH31" s="33"/>
      <c r="AI31" s="32"/>
      <c r="AJ31" s="33"/>
      <c r="AK31" s="32"/>
      <c r="AL31" s="33"/>
      <c r="AM31" s="32"/>
      <c r="AN31" s="33"/>
      <c r="AO31" s="32"/>
      <c r="AP31" s="33"/>
      <c r="AQ31" s="32"/>
      <c r="AR31" s="33"/>
      <c r="AS31" s="32"/>
      <c r="AT31" s="33"/>
      <c r="AU31" s="32"/>
      <c r="AV31" s="33"/>
      <c r="AW31" s="32"/>
      <c r="AX31" s="30"/>
      <c r="AY31" s="42"/>
      <c r="AZ31" s="4"/>
      <c r="BE31" s="65"/>
      <c r="BF31" s="134"/>
      <c r="BG31" s="65"/>
      <c r="BH31" s="134"/>
      <c r="BI31" s="65"/>
      <c r="BJ31" s="134"/>
      <c r="BK31" s="65"/>
    </row>
    <row r="32" spans="1:63" ht="18.95" customHeight="1" x14ac:dyDescent="0.25">
      <c r="A32" s="4"/>
      <c r="B32" s="120" t="s">
        <v>363</v>
      </c>
      <c r="C32" s="34"/>
      <c r="D32" s="35"/>
      <c r="E32" s="40"/>
      <c r="F32" s="41"/>
      <c r="G32" s="40"/>
      <c r="H32" s="41"/>
      <c r="I32" s="40"/>
      <c r="J32" s="35"/>
      <c r="K32" s="40"/>
      <c r="L32" s="41"/>
      <c r="M32" s="34"/>
      <c r="N32" s="35"/>
      <c r="O32" s="34"/>
      <c r="P32" s="35"/>
      <c r="Q32" s="34"/>
      <c r="R32" s="35"/>
      <c r="S32" s="34"/>
      <c r="T32" s="35"/>
      <c r="U32" s="34"/>
      <c r="V32" s="35"/>
      <c r="W32" s="34"/>
      <c r="X32" s="35"/>
      <c r="Y32" s="34"/>
      <c r="Z32" s="35"/>
      <c r="AA32" s="34"/>
      <c r="AB32" s="35"/>
      <c r="AC32" s="34"/>
      <c r="AD32" s="35"/>
      <c r="AE32" s="34"/>
      <c r="AF32" s="35"/>
      <c r="AG32" s="34"/>
      <c r="AH32" s="35"/>
      <c r="AI32" s="34"/>
      <c r="AJ32" s="35"/>
      <c r="AK32" s="34"/>
      <c r="AL32" s="35"/>
      <c r="AM32" s="34"/>
      <c r="AN32" s="35"/>
      <c r="AO32" s="34"/>
      <c r="AP32" s="35"/>
      <c r="AQ32" s="34"/>
      <c r="AR32" s="35"/>
      <c r="AS32" s="34"/>
      <c r="AT32" s="35"/>
      <c r="AU32" s="34"/>
      <c r="AV32" s="35"/>
      <c r="AW32" s="34"/>
      <c r="AX32" s="31"/>
      <c r="AY32" s="42"/>
      <c r="AZ32" s="4"/>
      <c r="BE32" s="66"/>
      <c r="BF32" s="134"/>
      <c r="BG32" s="66"/>
      <c r="BH32" s="134"/>
      <c r="BI32" s="66"/>
      <c r="BJ32" s="134"/>
      <c r="BK32" s="66"/>
    </row>
    <row r="33" spans="1:63" ht="18.95" customHeight="1" x14ac:dyDescent="0.25">
      <c r="A33" s="4"/>
      <c r="B33" s="119" t="s">
        <v>363</v>
      </c>
      <c r="C33" s="32"/>
      <c r="D33" s="33"/>
      <c r="E33" s="39"/>
      <c r="F33" s="38"/>
      <c r="G33" s="39"/>
      <c r="H33" s="38"/>
      <c r="I33" s="39"/>
      <c r="J33" s="33"/>
      <c r="K33" s="39"/>
      <c r="L33" s="38"/>
      <c r="M33" s="32"/>
      <c r="N33" s="33"/>
      <c r="O33" s="32"/>
      <c r="P33" s="33"/>
      <c r="Q33" s="32"/>
      <c r="R33" s="33"/>
      <c r="S33" s="32"/>
      <c r="T33" s="33"/>
      <c r="U33" s="32"/>
      <c r="V33" s="33"/>
      <c r="W33" s="32"/>
      <c r="X33" s="33"/>
      <c r="Y33" s="32"/>
      <c r="Z33" s="33"/>
      <c r="AA33" s="32"/>
      <c r="AB33" s="33"/>
      <c r="AC33" s="32"/>
      <c r="AD33" s="33"/>
      <c r="AE33" s="32"/>
      <c r="AF33" s="33"/>
      <c r="AG33" s="32"/>
      <c r="AH33" s="33"/>
      <c r="AI33" s="32"/>
      <c r="AJ33" s="33"/>
      <c r="AK33" s="32"/>
      <c r="AL33" s="33"/>
      <c r="AM33" s="32"/>
      <c r="AN33" s="33"/>
      <c r="AO33" s="32"/>
      <c r="AP33" s="33"/>
      <c r="AQ33" s="32"/>
      <c r="AR33" s="33"/>
      <c r="AS33" s="32"/>
      <c r="AT33" s="33"/>
      <c r="AU33" s="32"/>
      <c r="AV33" s="33"/>
      <c r="AW33" s="32"/>
      <c r="AX33" s="30"/>
      <c r="AY33" s="42"/>
      <c r="AZ33" s="4"/>
      <c r="BE33" s="65"/>
      <c r="BF33" s="134"/>
      <c r="BG33" s="65"/>
      <c r="BH33" s="134"/>
      <c r="BI33" s="65"/>
      <c r="BJ33" s="134"/>
      <c r="BK33" s="65"/>
    </row>
    <row r="34" spans="1:63" ht="18.95" customHeight="1" x14ac:dyDescent="0.25">
      <c r="A34" s="4"/>
      <c r="B34" s="120" t="s">
        <v>363</v>
      </c>
      <c r="C34" s="34"/>
      <c r="D34" s="35"/>
      <c r="E34" s="40"/>
      <c r="F34" s="41"/>
      <c r="G34" s="40"/>
      <c r="H34" s="41"/>
      <c r="I34" s="40"/>
      <c r="J34" s="35"/>
      <c r="K34" s="40"/>
      <c r="L34" s="41"/>
      <c r="M34" s="34"/>
      <c r="N34" s="35"/>
      <c r="O34" s="34"/>
      <c r="P34" s="35"/>
      <c r="Q34" s="34"/>
      <c r="R34" s="35"/>
      <c r="S34" s="34"/>
      <c r="T34" s="35"/>
      <c r="U34" s="34"/>
      <c r="V34" s="35"/>
      <c r="W34" s="34"/>
      <c r="X34" s="35"/>
      <c r="Y34" s="34"/>
      <c r="Z34" s="35"/>
      <c r="AA34" s="34"/>
      <c r="AB34" s="35"/>
      <c r="AC34" s="34"/>
      <c r="AD34" s="35"/>
      <c r="AE34" s="34"/>
      <c r="AF34" s="35"/>
      <c r="AG34" s="34"/>
      <c r="AH34" s="35"/>
      <c r="AI34" s="34"/>
      <c r="AJ34" s="35"/>
      <c r="AK34" s="34"/>
      <c r="AL34" s="35"/>
      <c r="AM34" s="34"/>
      <c r="AN34" s="35"/>
      <c r="AO34" s="34"/>
      <c r="AP34" s="35"/>
      <c r="AQ34" s="34"/>
      <c r="AR34" s="35"/>
      <c r="AS34" s="34"/>
      <c r="AT34" s="35"/>
      <c r="AU34" s="34"/>
      <c r="AV34" s="35"/>
      <c r="AW34" s="34"/>
      <c r="AX34" s="31"/>
      <c r="AY34" s="42"/>
      <c r="AZ34" s="4"/>
      <c r="BE34" s="66"/>
      <c r="BF34" s="134"/>
      <c r="BG34" s="66"/>
      <c r="BH34" s="134"/>
      <c r="BI34" s="66"/>
      <c r="BJ34" s="134"/>
      <c r="BK34" s="66"/>
    </row>
    <row r="35" spans="1:63" ht="18.95" customHeight="1" x14ac:dyDescent="0.25">
      <c r="A35" s="4"/>
      <c r="B35" s="119" t="s">
        <v>363</v>
      </c>
      <c r="C35" s="32"/>
      <c r="D35" s="33"/>
      <c r="E35" s="39"/>
      <c r="F35" s="38"/>
      <c r="G35" s="39"/>
      <c r="H35" s="38"/>
      <c r="I35" s="39"/>
      <c r="J35" s="33"/>
      <c r="K35" s="39"/>
      <c r="L35" s="38"/>
      <c r="M35" s="32"/>
      <c r="N35" s="33"/>
      <c r="O35" s="32"/>
      <c r="P35" s="33"/>
      <c r="Q35" s="32"/>
      <c r="R35" s="33"/>
      <c r="S35" s="32"/>
      <c r="T35" s="33"/>
      <c r="U35" s="32"/>
      <c r="V35" s="33"/>
      <c r="W35" s="32"/>
      <c r="X35" s="33"/>
      <c r="Y35" s="32"/>
      <c r="Z35" s="33"/>
      <c r="AA35" s="32"/>
      <c r="AB35" s="33"/>
      <c r="AC35" s="32"/>
      <c r="AD35" s="33"/>
      <c r="AE35" s="32"/>
      <c r="AF35" s="33"/>
      <c r="AG35" s="32"/>
      <c r="AH35" s="33"/>
      <c r="AI35" s="32"/>
      <c r="AJ35" s="33"/>
      <c r="AK35" s="32"/>
      <c r="AL35" s="33"/>
      <c r="AM35" s="32"/>
      <c r="AN35" s="33"/>
      <c r="AO35" s="32"/>
      <c r="AP35" s="33"/>
      <c r="AQ35" s="32"/>
      <c r="AR35" s="33"/>
      <c r="AS35" s="32"/>
      <c r="AT35" s="33"/>
      <c r="AU35" s="32"/>
      <c r="AV35" s="33"/>
      <c r="AW35" s="32"/>
      <c r="AX35" s="30"/>
      <c r="AY35" s="42"/>
      <c r="AZ35" s="4"/>
      <c r="BE35" s="65"/>
      <c r="BF35" s="134"/>
      <c r="BG35" s="65"/>
      <c r="BH35" s="134"/>
      <c r="BI35" s="65"/>
      <c r="BJ35" s="134"/>
      <c r="BK35" s="65"/>
    </row>
    <row r="36" spans="1:63" ht="18.95" customHeight="1" x14ac:dyDescent="0.25">
      <c r="A36" s="4"/>
      <c r="B36" s="120" t="s">
        <v>363</v>
      </c>
      <c r="C36" s="34"/>
      <c r="D36" s="35"/>
      <c r="E36" s="40"/>
      <c r="F36" s="41"/>
      <c r="G36" s="40"/>
      <c r="H36" s="41"/>
      <c r="I36" s="40"/>
      <c r="J36" s="35"/>
      <c r="K36" s="40"/>
      <c r="L36" s="41"/>
      <c r="M36" s="34"/>
      <c r="N36" s="35"/>
      <c r="O36" s="34"/>
      <c r="P36" s="35"/>
      <c r="Q36" s="34"/>
      <c r="R36" s="35"/>
      <c r="S36" s="34"/>
      <c r="T36" s="35"/>
      <c r="U36" s="34"/>
      <c r="V36" s="35"/>
      <c r="W36" s="34"/>
      <c r="X36" s="35"/>
      <c r="Y36" s="34"/>
      <c r="Z36" s="35"/>
      <c r="AA36" s="34"/>
      <c r="AB36" s="35"/>
      <c r="AC36" s="34"/>
      <c r="AD36" s="35"/>
      <c r="AE36" s="34"/>
      <c r="AF36" s="35"/>
      <c r="AG36" s="34"/>
      <c r="AH36" s="35"/>
      <c r="AI36" s="34"/>
      <c r="AJ36" s="35"/>
      <c r="AK36" s="34"/>
      <c r="AL36" s="35"/>
      <c r="AM36" s="34"/>
      <c r="AN36" s="35"/>
      <c r="AO36" s="34"/>
      <c r="AP36" s="35"/>
      <c r="AQ36" s="34"/>
      <c r="AR36" s="35"/>
      <c r="AS36" s="34"/>
      <c r="AT36" s="35"/>
      <c r="AU36" s="34"/>
      <c r="AV36" s="35"/>
      <c r="AW36" s="34"/>
      <c r="AX36" s="31"/>
      <c r="AY36" s="42"/>
      <c r="AZ36" s="4"/>
      <c r="BE36" s="66"/>
      <c r="BF36" s="134"/>
      <c r="BG36" s="66"/>
      <c r="BH36" s="134"/>
      <c r="BI36" s="66"/>
      <c r="BJ36" s="134"/>
      <c r="BK36" s="66"/>
    </row>
    <row r="37" spans="1:63" ht="18.95" customHeight="1" x14ac:dyDescent="0.25">
      <c r="A37" s="4"/>
      <c r="B37" s="119" t="s">
        <v>363</v>
      </c>
      <c r="C37" s="32"/>
      <c r="D37" s="33"/>
      <c r="E37" s="39"/>
      <c r="F37" s="38"/>
      <c r="G37" s="39"/>
      <c r="H37" s="38"/>
      <c r="I37" s="39"/>
      <c r="J37" s="33"/>
      <c r="K37" s="39"/>
      <c r="L37" s="38"/>
      <c r="M37" s="32"/>
      <c r="N37" s="33"/>
      <c r="O37" s="32"/>
      <c r="P37" s="33"/>
      <c r="Q37" s="32"/>
      <c r="R37" s="33"/>
      <c r="S37" s="32"/>
      <c r="T37" s="33"/>
      <c r="U37" s="32"/>
      <c r="V37" s="33"/>
      <c r="W37" s="32"/>
      <c r="X37" s="33"/>
      <c r="Y37" s="32"/>
      <c r="Z37" s="33"/>
      <c r="AA37" s="32"/>
      <c r="AB37" s="33"/>
      <c r="AC37" s="32"/>
      <c r="AD37" s="33"/>
      <c r="AE37" s="32"/>
      <c r="AF37" s="33"/>
      <c r="AG37" s="32"/>
      <c r="AH37" s="33"/>
      <c r="AI37" s="32"/>
      <c r="AJ37" s="33"/>
      <c r="AK37" s="32"/>
      <c r="AL37" s="33"/>
      <c r="AM37" s="32"/>
      <c r="AN37" s="33"/>
      <c r="AO37" s="32"/>
      <c r="AP37" s="33"/>
      <c r="AQ37" s="32"/>
      <c r="AR37" s="33"/>
      <c r="AS37" s="32"/>
      <c r="AT37" s="33"/>
      <c r="AU37" s="32"/>
      <c r="AV37" s="33"/>
      <c r="AW37" s="32"/>
      <c r="AX37" s="30"/>
      <c r="AY37" s="42"/>
      <c r="AZ37" s="4"/>
      <c r="BE37" s="65"/>
      <c r="BF37" s="134"/>
      <c r="BG37" s="65"/>
      <c r="BH37" s="134"/>
      <c r="BI37" s="65"/>
      <c r="BJ37" s="134"/>
      <c r="BK37" s="65"/>
    </row>
    <row r="38" spans="1:63" ht="18.95" customHeight="1" x14ac:dyDescent="0.25">
      <c r="A38" s="4"/>
      <c r="B38" s="120" t="s">
        <v>363</v>
      </c>
      <c r="C38" s="34"/>
      <c r="D38" s="35"/>
      <c r="E38" s="40"/>
      <c r="F38" s="41"/>
      <c r="G38" s="40"/>
      <c r="H38" s="41"/>
      <c r="I38" s="40"/>
      <c r="J38" s="35"/>
      <c r="K38" s="40"/>
      <c r="L38" s="41"/>
      <c r="M38" s="34"/>
      <c r="N38" s="35"/>
      <c r="O38" s="34"/>
      <c r="P38" s="35"/>
      <c r="Q38" s="34"/>
      <c r="R38" s="35"/>
      <c r="S38" s="34"/>
      <c r="T38" s="35"/>
      <c r="U38" s="34"/>
      <c r="V38" s="35"/>
      <c r="W38" s="34"/>
      <c r="X38" s="35"/>
      <c r="Y38" s="34"/>
      <c r="Z38" s="35"/>
      <c r="AA38" s="34"/>
      <c r="AB38" s="35"/>
      <c r="AC38" s="34"/>
      <c r="AD38" s="35"/>
      <c r="AE38" s="34"/>
      <c r="AF38" s="35"/>
      <c r="AG38" s="34"/>
      <c r="AH38" s="35"/>
      <c r="AI38" s="34"/>
      <c r="AJ38" s="35"/>
      <c r="AK38" s="34"/>
      <c r="AL38" s="35"/>
      <c r="AM38" s="34"/>
      <c r="AN38" s="35"/>
      <c r="AO38" s="34"/>
      <c r="AP38" s="35"/>
      <c r="AQ38" s="34"/>
      <c r="AR38" s="35"/>
      <c r="AS38" s="34"/>
      <c r="AT38" s="35"/>
      <c r="AU38" s="34"/>
      <c r="AV38" s="35"/>
      <c r="AW38" s="34"/>
      <c r="AX38" s="31"/>
      <c r="AY38" s="42"/>
      <c r="AZ38" s="4"/>
      <c r="BE38" s="66"/>
      <c r="BF38" s="134"/>
      <c r="BG38" s="66"/>
      <c r="BH38" s="134"/>
      <c r="BI38" s="66"/>
      <c r="BJ38" s="134"/>
      <c r="BK38" s="66"/>
    </row>
    <row r="39" spans="1:63" ht="18.95" customHeight="1" x14ac:dyDescent="0.25">
      <c r="A39" s="4"/>
      <c r="B39" s="119" t="s">
        <v>363</v>
      </c>
      <c r="C39" s="32"/>
      <c r="D39" s="33"/>
      <c r="E39" s="39"/>
      <c r="F39" s="38"/>
      <c r="G39" s="39"/>
      <c r="H39" s="38"/>
      <c r="I39" s="39"/>
      <c r="J39" s="33"/>
      <c r="K39" s="39"/>
      <c r="L39" s="38"/>
      <c r="M39" s="32"/>
      <c r="N39" s="33"/>
      <c r="O39" s="32"/>
      <c r="P39" s="33"/>
      <c r="Q39" s="32"/>
      <c r="R39" s="33"/>
      <c r="S39" s="32"/>
      <c r="T39" s="33"/>
      <c r="U39" s="32"/>
      <c r="V39" s="33"/>
      <c r="W39" s="32"/>
      <c r="X39" s="33"/>
      <c r="Y39" s="32"/>
      <c r="Z39" s="33"/>
      <c r="AA39" s="32"/>
      <c r="AB39" s="33"/>
      <c r="AC39" s="32"/>
      <c r="AD39" s="33"/>
      <c r="AE39" s="32"/>
      <c r="AF39" s="33"/>
      <c r="AG39" s="32"/>
      <c r="AH39" s="33"/>
      <c r="AI39" s="32"/>
      <c r="AJ39" s="33"/>
      <c r="AK39" s="32"/>
      <c r="AL39" s="33"/>
      <c r="AM39" s="32"/>
      <c r="AN39" s="33"/>
      <c r="AO39" s="32"/>
      <c r="AP39" s="33"/>
      <c r="AQ39" s="32"/>
      <c r="AR39" s="33"/>
      <c r="AS39" s="32"/>
      <c r="AT39" s="33"/>
      <c r="AU39" s="32"/>
      <c r="AV39" s="33"/>
      <c r="AW39" s="32"/>
      <c r="AX39" s="30"/>
      <c r="AY39" s="42"/>
      <c r="AZ39" s="4"/>
      <c r="BE39" s="65"/>
      <c r="BF39" s="134"/>
      <c r="BG39" s="65"/>
      <c r="BH39" s="134"/>
      <c r="BI39" s="65"/>
      <c r="BJ39" s="134"/>
      <c r="BK39" s="65"/>
    </row>
    <row r="40" spans="1:63" ht="18.95" customHeight="1" x14ac:dyDescent="0.25">
      <c r="A40" s="4"/>
      <c r="B40" s="120" t="s">
        <v>363</v>
      </c>
      <c r="C40" s="34"/>
      <c r="D40" s="35"/>
      <c r="E40" s="40"/>
      <c r="F40" s="41"/>
      <c r="G40" s="40"/>
      <c r="H40" s="41"/>
      <c r="I40" s="40"/>
      <c r="J40" s="35"/>
      <c r="K40" s="40"/>
      <c r="L40" s="41"/>
      <c r="M40" s="34"/>
      <c r="N40" s="35"/>
      <c r="O40" s="34"/>
      <c r="P40" s="35"/>
      <c r="Q40" s="34"/>
      <c r="R40" s="35"/>
      <c r="S40" s="34"/>
      <c r="T40" s="35"/>
      <c r="U40" s="34"/>
      <c r="V40" s="35"/>
      <c r="W40" s="34"/>
      <c r="X40" s="35"/>
      <c r="Y40" s="34"/>
      <c r="Z40" s="35"/>
      <c r="AA40" s="34"/>
      <c r="AB40" s="35"/>
      <c r="AC40" s="34"/>
      <c r="AD40" s="35"/>
      <c r="AE40" s="34"/>
      <c r="AF40" s="35"/>
      <c r="AG40" s="34"/>
      <c r="AH40" s="35"/>
      <c r="AI40" s="34"/>
      <c r="AJ40" s="35"/>
      <c r="AK40" s="34"/>
      <c r="AL40" s="35"/>
      <c r="AM40" s="34"/>
      <c r="AN40" s="35"/>
      <c r="AO40" s="34"/>
      <c r="AP40" s="35"/>
      <c r="AQ40" s="34"/>
      <c r="AR40" s="35"/>
      <c r="AS40" s="34"/>
      <c r="AT40" s="35"/>
      <c r="AU40" s="34"/>
      <c r="AV40" s="35"/>
      <c r="AW40" s="34"/>
      <c r="AX40" s="31"/>
      <c r="AY40" s="42"/>
      <c r="AZ40" s="4"/>
      <c r="BE40" s="66"/>
      <c r="BF40" s="134"/>
      <c r="BG40" s="66"/>
      <c r="BH40" s="134"/>
      <c r="BI40" s="66"/>
      <c r="BJ40" s="134"/>
      <c r="BK40" s="66"/>
    </row>
    <row r="41" spans="1:63" ht="18.95" customHeight="1" x14ac:dyDescent="0.25">
      <c r="A41" s="4"/>
      <c r="B41" s="119" t="s">
        <v>363</v>
      </c>
      <c r="C41" s="32"/>
      <c r="D41" s="33"/>
      <c r="E41" s="39"/>
      <c r="F41" s="38"/>
      <c r="G41" s="39"/>
      <c r="H41" s="38"/>
      <c r="I41" s="39"/>
      <c r="J41" s="33"/>
      <c r="K41" s="39"/>
      <c r="L41" s="38"/>
      <c r="M41" s="32"/>
      <c r="N41" s="33"/>
      <c r="O41" s="32"/>
      <c r="P41" s="33"/>
      <c r="Q41" s="32"/>
      <c r="R41" s="33"/>
      <c r="S41" s="32"/>
      <c r="T41" s="33"/>
      <c r="U41" s="32"/>
      <c r="V41" s="33"/>
      <c r="W41" s="32"/>
      <c r="X41" s="33"/>
      <c r="Y41" s="32"/>
      <c r="Z41" s="33"/>
      <c r="AA41" s="32"/>
      <c r="AB41" s="33"/>
      <c r="AC41" s="32"/>
      <c r="AD41" s="33"/>
      <c r="AE41" s="32"/>
      <c r="AF41" s="33"/>
      <c r="AG41" s="32"/>
      <c r="AH41" s="33"/>
      <c r="AI41" s="32"/>
      <c r="AJ41" s="33"/>
      <c r="AK41" s="32"/>
      <c r="AL41" s="33"/>
      <c r="AM41" s="32"/>
      <c r="AN41" s="33"/>
      <c r="AO41" s="32"/>
      <c r="AP41" s="33"/>
      <c r="AQ41" s="32"/>
      <c r="AR41" s="33"/>
      <c r="AS41" s="32"/>
      <c r="AT41" s="33"/>
      <c r="AU41" s="32"/>
      <c r="AV41" s="33"/>
      <c r="AW41" s="32"/>
      <c r="AX41" s="30"/>
      <c r="AY41" s="42"/>
      <c r="AZ41" s="4"/>
      <c r="BE41" s="65"/>
      <c r="BF41" s="134"/>
      <c r="BG41" s="65"/>
      <c r="BH41" s="134"/>
      <c r="BI41" s="65"/>
      <c r="BJ41" s="134"/>
      <c r="BK41" s="65"/>
    </row>
    <row r="42" spans="1:63" ht="18.95" customHeight="1" x14ac:dyDescent="0.25">
      <c r="A42" s="4"/>
      <c r="B42" s="120" t="s">
        <v>363</v>
      </c>
      <c r="C42" s="34"/>
      <c r="D42" s="35"/>
      <c r="E42" s="40"/>
      <c r="F42" s="41"/>
      <c r="G42" s="40"/>
      <c r="H42" s="41"/>
      <c r="I42" s="40"/>
      <c r="J42" s="35"/>
      <c r="K42" s="40"/>
      <c r="L42" s="41"/>
      <c r="M42" s="34"/>
      <c r="N42" s="35"/>
      <c r="O42" s="34"/>
      <c r="P42" s="35"/>
      <c r="Q42" s="34"/>
      <c r="R42" s="35"/>
      <c r="S42" s="34"/>
      <c r="T42" s="35"/>
      <c r="U42" s="34"/>
      <c r="V42" s="35"/>
      <c r="W42" s="34"/>
      <c r="X42" s="35"/>
      <c r="Y42" s="34"/>
      <c r="Z42" s="35"/>
      <c r="AA42" s="34"/>
      <c r="AB42" s="35"/>
      <c r="AC42" s="34"/>
      <c r="AD42" s="35"/>
      <c r="AE42" s="34"/>
      <c r="AF42" s="35"/>
      <c r="AG42" s="34"/>
      <c r="AH42" s="35"/>
      <c r="AI42" s="34"/>
      <c r="AJ42" s="35"/>
      <c r="AK42" s="34"/>
      <c r="AL42" s="35"/>
      <c r="AM42" s="34"/>
      <c r="AN42" s="35"/>
      <c r="AO42" s="34"/>
      <c r="AP42" s="35"/>
      <c r="AQ42" s="34"/>
      <c r="AR42" s="35"/>
      <c r="AS42" s="34"/>
      <c r="AT42" s="35"/>
      <c r="AU42" s="34"/>
      <c r="AV42" s="35"/>
      <c r="AW42" s="34"/>
      <c r="AX42" s="31"/>
      <c r="AY42" s="42"/>
      <c r="AZ42" s="4"/>
      <c r="BE42" s="66"/>
      <c r="BF42" s="134"/>
      <c r="BG42" s="66"/>
      <c r="BH42" s="134"/>
      <c r="BI42" s="66"/>
      <c r="BJ42" s="134"/>
      <c r="BK42" s="66"/>
    </row>
    <row r="43" spans="1:63" ht="18.95" customHeight="1" x14ac:dyDescent="0.25">
      <c r="A43" s="4"/>
      <c r="B43" s="119" t="s">
        <v>363</v>
      </c>
      <c r="C43" s="32"/>
      <c r="D43" s="33"/>
      <c r="E43" s="39"/>
      <c r="F43" s="38"/>
      <c r="G43" s="39"/>
      <c r="H43" s="38"/>
      <c r="I43" s="39"/>
      <c r="J43" s="33"/>
      <c r="K43" s="39"/>
      <c r="L43" s="38"/>
      <c r="M43" s="32"/>
      <c r="N43" s="33"/>
      <c r="O43" s="32"/>
      <c r="P43" s="33"/>
      <c r="Q43" s="32"/>
      <c r="R43" s="33"/>
      <c r="S43" s="32"/>
      <c r="T43" s="33"/>
      <c r="U43" s="32"/>
      <c r="V43" s="33"/>
      <c r="W43" s="32"/>
      <c r="X43" s="33"/>
      <c r="Y43" s="32"/>
      <c r="Z43" s="33"/>
      <c r="AA43" s="32"/>
      <c r="AB43" s="33"/>
      <c r="AC43" s="32"/>
      <c r="AD43" s="33"/>
      <c r="AE43" s="32"/>
      <c r="AF43" s="33"/>
      <c r="AG43" s="32"/>
      <c r="AH43" s="33"/>
      <c r="AI43" s="32"/>
      <c r="AJ43" s="33"/>
      <c r="AK43" s="32"/>
      <c r="AL43" s="33"/>
      <c r="AM43" s="32"/>
      <c r="AN43" s="33"/>
      <c r="AO43" s="32"/>
      <c r="AP43" s="33"/>
      <c r="AQ43" s="32"/>
      <c r="AR43" s="33"/>
      <c r="AS43" s="32"/>
      <c r="AT43" s="33"/>
      <c r="AU43" s="32"/>
      <c r="AV43" s="33"/>
      <c r="AW43" s="32"/>
      <c r="AX43" s="30"/>
      <c r="AY43" s="42"/>
      <c r="AZ43" s="4"/>
      <c r="BE43" s="65"/>
      <c r="BF43" s="134"/>
      <c r="BG43" s="65"/>
      <c r="BH43" s="134"/>
      <c r="BI43" s="65"/>
      <c r="BJ43" s="134"/>
      <c r="BK43" s="65"/>
    </row>
    <row r="44" spans="1:63" ht="18.95" customHeight="1" x14ac:dyDescent="0.25">
      <c r="A44" s="4"/>
      <c r="B44" s="120" t="s">
        <v>363</v>
      </c>
      <c r="C44" s="34"/>
      <c r="D44" s="35"/>
      <c r="E44" s="40"/>
      <c r="F44" s="41"/>
      <c r="G44" s="40"/>
      <c r="H44" s="41"/>
      <c r="I44" s="40"/>
      <c r="J44" s="35"/>
      <c r="K44" s="40"/>
      <c r="L44" s="41"/>
      <c r="M44" s="34"/>
      <c r="N44" s="35"/>
      <c r="O44" s="34"/>
      <c r="P44" s="35"/>
      <c r="Q44" s="34"/>
      <c r="R44" s="35"/>
      <c r="S44" s="34"/>
      <c r="T44" s="35"/>
      <c r="U44" s="34"/>
      <c r="V44" s="35"/>
      <c r="W44" s="34"/>
      <c r="X44" s="35"/>
      <c r="Y44" s="34"/>
      <c r="Z44" s="35"/>
      <c r="AA44" s="34"/>
      <c r="AB44" s="35"/>
      <c r="AC44" s="34"/>
      <c r="AD44" s="35"/>
      <c r="AE44" s="34"/>
      <c r="AF44" s="35"/>
      <c r="AG44" s="34"/>
      <c r="AH44" s="35"/>
      <c r="AI44" s="34"/>
      <c r="AJ44" s="35"/>
      <c r="AK44" s="34"/>
      <c r="AL44" s="35"/>
      <c r="AM44" s="34"/>
      <c r="AN44" s="35"/>
      <c r="AO44" s="34"/>
      <c r="AP44" s="35"/>
      <c r="AQ44" s="34"/>
      <c r="AR44" s="35"/>
      <c r="AS44" s="34"/>
      <c r="AT44" s="35"/>
      <c r="AU44" s="34"/>
      <c r="AV44" s="35"/>
      <c r="AW44" s="34"/>
      <c r="AX44" s="31"/>
      <c r="AY44" s="42"/>
      <c r="AZ44" s="4"/>
      <c r="BE44" s="66"/>
      <c r="BF44" s="134"/>
      <c r="BG44" s="66"/>
      <c r="BH44" s="134"/>
      <c r="BI44" s="66"/>
      <c r="BJ44" s="134"/>
      <c r="BK44" s="66"/>
    </row>
    <row r="45" spans="1:63" ht="18.95" customHeight="1" x14ac:dyDescent="0.25">
      <c r="A45" s="4"/>
      <c r="B45" s="119" t="s">
        <v>363</v>
      </c>
      <c r="C45" s="32"/>
      <c r="D45" s="33"/>
      <c r="E45" s="39"/>
      <c r="F45" s="38"/>
      <c r="G45" s="39"/>
      <c r="H45" s="38"/>
      <c r="I45" s="39"/>
      <c r="J45" s="33"/>
      <c r="K45" s="39"/>
      <c r="L45" s="38"/>
      <c r="M45" s="32"/>
      <c r="N45" s="33"/>
      <c r="O45" s="32"/>
      <c r="P45" s="33"/>
      <c r="Q45" s="32"/>
      <c r="R45" s="33"/>
      <c r="S45" s="32"/>
      <c r="T45" s="33"/>
      <c r="U45" s="32"/>
      <c r="V45" s="33"/>
      <c r="W45" s="32"/>
      <c r="X45" s="33"/>
      <c r="Y45" s="32"/>
      <c r="Z45" s="33"/>
      <c r="AA45" s="32"/>
      <c r="AB45" s="33"/>
      <c r="AC45" s="32"/>
      <c r="AD45" s="33"/>
      <c r="AE45" s="32"/>
      <c r="AF45" s="33"/>
      <c r="AG45" s="32"/>
      <c r="AH45" s="33"/>
      <c r="AI45" s="32"/>
      <c r="AJ45" s="33"/>
      <c r="AK45" s="32"/>
      <c r="AL45" s="33"/>
      <c r="AM45" s="32"/>
      <c r="AN45" s="33"/>
      <c r="AO45" s="32"/>
      <c r="AP45" s="33"/>
      <c r="AQ45" s="32"/>
      <c r="AR45" s="33"/>
      <c r="AS45" s="32"/>
      <c r="AT45" s="33"/>
      <c r="AU45" s="32"/>
      <c r="AV45" s="33"/>
      <c r="AW45" s="32"/>
      <c r="AX45" s="30"/>
      <c r="AY45" s="42"/>
      <c r="AZ45" s="4"/>
      <c r="BE45" s="65"/>
      <c r="BF45" s="134"/>
      <c r="BG45" s="65"/>
      <c r="BH45" s="134"/>
      <c r="BI45" s="65"/>
      <c r="BJ45" s="134"/>
      <c r="BK45" s="65"/>
    </row>
    <row r="46" spans="1:63" ht="18.95" customHeight="1" x14ac:dyDescent="0.25">
      <c r="A46" s="4"/>
      <c r="B46" s="120" t="s">
        <v>363</v>
      </c>
      <c r="C46" s="34"/>
      <c r="D46" s="35"/>
      <c r="E46" s="40"/>
      <c r="F46" s="41"/>
      <c r="G46" s="40"/>
      <c r="H46" s="41"/>
      <c r="I46" s="40"/>
      <c r="J46" s="35"/>
      <c r="K46" s="40"/>
      <c r="L46" s="41"/>
      <c r="M46" s="34"/>
      <c r="N46" s="35"/>
      <c r="O46" s="34"/>
      <c r="P46" s="35"/>
      <c r="Q46" s="34"/>
      <c r="R46" s="35"/>
      <c r="S46" s="34"/>
      <c r="T46" s="35"/>
      <c r="U46" s="34"/>
      <c r="V46" s="35"/>
      <c r="W46" s="34"/>
      <c r="X46" s="35"/>
      <c r="Y46" s="34"/>
      <c r="Z46" s="35"/>
      <c r="AA46" s="34"/>
      <c r="AB46" s="35"/>
      <c r="AC46" s="34"/>
      <c r="AD46" s="35"/>
      <c r="AE46" s="34"/>
      <c r="AF46" s="35"/>
      <c r="AG46" s="34"/>
      <c r="AH46" s="35"/>
      <c r="AI46" s="34"/>
      <c r="AJ46" s="35"/>
      <c r="AK46" s="34"/>
      <c r="AL46" s="35"/>
      <c r="AM46" s="34"/>
      <c r="AN46" s="35"/>
      <c r="AO46" s="34"/>
      <c r="AP46" s="35"/>
      <c r="AQ46" s="34"/>
      <c r="AR46" s="35"/>
      <c r="AS46" s="34"/>
      <c r="AT46" s="35"/>
      <c r="AU46" s="34"/>
      <c r="AV46" s="35"/>
      <c r="AW46" s="34"/>
      <c r="AX46" s="31"/>
      <c r="AY46" s="42"/>
      <c r="AZ46" s="4"/>
      <c r="BE46" s="66"/>
      <c r="BF46" s="134"/>
      <c r="BG46" s="66"/>
      <c r="BH46" s="134"/>
      <c r="BI46" s="66"/>
      <c r="BJ46" s="134"/>
      <c r="BK46" s="66"/>
    </row>
    <row r="47" spans="1:63" ht="18.95" customHeight="1" x14ac:dyDescent="0.25">
      <c r="A47" s="4"/>
      <c r="B47" s="119" t="s">
        <v>363</v>
      </c>
      <c r="C47" s="32"/>
      <c r="D47" s="33"/>
      <c r="E47" s="39"/>
      <c r="F47" s="38"/>
      <c r="G47" s="39"/>
      <c r="H47" s="38"/>
      <c r="I47" s="39"/>
      <c r="J47" s="33"/>
      <c r="K47" s="39"/>
      <c r="L47" s="38"/>
      <c r="M47" s="32"/>
      <c r="N47" s="33"/>
      <c r="O47" s="32"/>
      <c r="P47" s="33"/>
      <c r="Q47" s="32"/>
      <c r="R47" s="33"/>
      <c r="S47" s="32"/>
      <c r="T47" s="33"/>
      <c r="U47" s="32"/>
      <c r="V47" s="33"/>
      <c r="W47" s="32"/>
      <c r="X47" s="33"/>
      <c r="Y47" s="32"/>
      <c r="Z47" s="33"/>
      <c r="AA47" s="32"/>
      <c r="AB47" s="33"/>
      <c r="AC47" s="32"/>
      <c r="AD47" s="33"/>
      <c r="AE47" s="32"/>
      <c r="AF47" s="33"/>
      <c r="AG47" s="32"/>
      <c r="AH47" s="33"/>
      <c r="AI47" s="32"/>
      <c r="AJ47" s="33"/>
      <c r="AK47" s="32"/>
      <c r="AL47" s="33"/>
      <c r="AM47" s="32"/>
      <c r="AN47" s="33"/>
      <c r="AO47" s="32"/>
      <c r="AP47" s="33"/>
      <c r="AQ47" s="32"/>
      <c r="AR47" s="33"/>
      <c r="AS47" s="32"/>
      <c r="AT47" s="33"/>
      <c r="AU47" s="32"/>
      <c r="AV47" s="33"/>
      <c r="AW47" s="32"/>
      <c r="AX47" s="30"/>
      <c r="AY47" s="42"/>
      <c r="AZ47" s="4"/>
      <c r="BE47" s="65"/>
      <c r="BF47" s="134"/>
      <c r="BG47" s="65"/>
      <c r="BH47" s="134"/>
      <c r="BI47" s="65"/>
      <c r="BJ47" s="134"/>
      <c r="BK47" s="65"/>
    </row>
    <row r="48" spans="1:63" ht="18.95" customHeight="1" x14ac:dyDescent="0.25">
      <c r="A48" s="4"/>
      <c r="B48" s="120" t="s">
        <v>363</v>
      </c>
      <c r="C48" s="34"/>
      <c r="D48" s="35"/>
      <c r="E48" s="40"/>
      <c r="F48" s="41"/>
      <c r="G48" s="40"/>
      <c r="H48" s="41"/>
      <c r="I48" s="40"/>
      <c r="J48" s="35"/>
      <c r="K48" s="40"/>
      <c r="L48" s="41"/>
      <c r="M48" s="34"/>
      <c r="N48" s="35"/>
      <c r="O48" s="34"/>
      <c r="P48" s="35"/>
      <c r="Q48" s="34"/>
      <c r="R48" s="35"/>
      <c r="S48" s="34"/>
      <c r="T48" s="35"/>
      <c r="U48" s="34"/>
      <c r="V48" s="35"/>
      <c r="W48" s="34"/>
      <c r="X48" s="35"/>
      <c r="Y48" s="34"/>
      <c r="Z48" s="35"/>
      <c r="AA48" s="34"/>
      <c r="AB48" s="35"/>
      <c r="AC48" s="34"/>
      <c r="AD48" s="35"/>
      <c r="AE48" s="34"/>
      <c r="AF48" s="35"/>
      <c r="AG48" s="34"/>
      <c r="AH48" s="35"/>
      <c r="AI48" s="34"/>
      <c r="AJ48" s="35"/>
      <c r="AK48" s="34"/>
      <c r="AL48" s="35"/>
      <c r="AM48" s="34"/>
      <c r="AN48" s="35"/>
      <c r="AO48" s="34"/>
      <c r="AP48" s="35"/>
      <c r="AQ48" s="34"/>
      <c r="AR48" s="35"/>
      <c r="AS48" s="34"/>
      <c r="AT48" s="35"/>
      <c r="AU48" s="34"/>
      <c r="AV48" s="35"/>
      <c r="AW48" s="34"/>
      <c r="AX48" s="31"/>
      <c r="AY48" s="42"/>
      <c r="AZ48" s="4"/>
      <c r="BE48" s="66"/>
      <c r="BF48" s="134"/>
      <c r="BG48" s="66"/>
      <c r="BH48" s="134"/>
      <c r="BI48" s="66"/>
      <c r="BJ48" s="134"/>
      <c r="BK48" s="66"/>
    </row>
    <row r="49" spans="1:63" ht="18.95" customHeight="1" x14ac:dyDescent="0.25">
      <c r="A49" s="4"/>
      <c r="B49" s="119" t="s">
        <v>363</v>
      </c>
      <c r="C49" s="32"/>
      <c r="D49" s="33"/>
      <c r="E49" s="39"/>
      <c r="F49" s="38"/>
      <c r="G49" s="39"/>
      <c r="H49" s="38"/>
      <c r="I49" s="39"/>
      <c r="J49" s="33"/>
      <c r="K49" s="32"/>
      <c r="L49" s="33"/>
      <c r="M49" s="32"/>
      <c r="N49" s="33"/>
      <c r="O49" s="32"/>
      <c r="P49" s="33"/>
      <c r="Q49" s="32"/>
      <c r="R49" s="33"/>
      <c r="S49" s="32"/>
      <c r="T49" s="33"/>
      <c r="U49" s="32"/>
      <c r="V49" s="33"/>
      <c r="W49" s="32"/>
      <c r="X49" s="33"/>
      <c r="Y49" s="32"/>
      <c r="Z49" s="33"/>
      <c r="AA49" s="32"/>
      <c r="AB49" s="33"/>
      <c r="AC49" s="32"/>
      <c r="AD49" s="33"/>
      <c r="AE49" s="32"/>
      <c r="AF49" s="33"/>
      <c r="AG49" s="32"/>
      <c r="AH49" s="33"/>
      <c r="AI49" s="32"/>
      <c r="AJ49" s="33"/>
      <c r="AK49" s="32"/>
      <c r="AL49" s="33"/>
      <c r="AM49" s="32"/>
      <c r="AN49" s="33"/>
      <c r="AO49" s="32"/>
      <c r="AP49" s="33"/>
      <c r="AQ49" s="32"/>
      <c r="AR49" s="33"/>
      <c r="AS49" s="32"/>
      <c r="AT49" s="33"/>
      <c r="AU49" s="32"/>
      <c r="AV49" s="33"/>
      <c r="AW49" s="32"/>
      <c r="AX49" s="30"/>
      <c r="AY49" s="42"/>
      <c r="AZ49" s="4"/>
      <c r="BE49" s="65"/>
      <c r="BF49" s="134"/>
      <c r="BG49" s="65"/>
      <c r="BH49" s="134"/>
      <c r="BI49" s="65"/>
      <c r="BJ49" s="134"/>
      <c r="BK49" s="65"/>
    </row>
    <row r="50" spans="1:63" ht="18.95" customHeight="1" thickBot="1" x14ac:dyDescent="0.3">
      <c r="A50" s="4"/>
      <c r="B50" s="121" t="s">
        <v>363</v>
      </c>
      <c r="C50" s="36"/>
      <c r="D50" s="37"/>
      <c r="E50" s="135"/>
      <c r="F50" s="48"/>
      <c r="G50" s="135"/>
      <c r="H50" s="48"/>
      <c r="I50" s="135"/>
      <c r="J50" s="37"/>
      <c r="K50" s="36"/>
      <c r="L50" s="37"/>
      <c r="M50" s="36"/>
      <c r="N50" s="37"/>
      <c r="O50" s="36"/>
      <c r="P50" s="37"/>
      <c r="Q50" s="36"/>
      <c r="R50" s="37"/>
      <c r="S50" s="36"/>
      <c r="T50" s="37"/>
      <c r="U50" s="36"/>
      <c r="V50" s="37"/>
      <c r="W50" s="36"/>
      <c r="X50" s="37"/>
      <c r="Y50" s="36"/>
      <c r="Z50" s="37"/>
      <c r="AA50" s="36"/>
      <c r="AB50" s="37"/>
      <c r="AC50" s="36"/>
      <c r="AD50" s="37"/>
      <c r="AE50" s="36"/>
      <c r="AF50" s="37"/>
      <c r="AG50" s="36"/>
      <c r="AH50" s="37"/>
      <c r="AI50" s="36"/>
      <c r="AJ50" s="37"/>
      <c r="AK50" s="36"/>
      <c r="AL50" s="37"/>
      <c r="AM50" s="36"/>
      <c r="AN50" s="37"/>
      <c r="AO50" s="36"/>
      <c r="AP50" s="37"/>
      <c r="AQ50" s="36"/>
      <c r="AR50" s="37"/>
      <c r="AS50" s="36"/>
      <c r="AT50" s="37"/>
      <c r="AU50" s="36"/>
      <c r="AV50" s="37"/>
      <c r="AW50" s="36"/>
      <c r="AX50" s="28"/>
      <c r="AY50" s="42"/>
      <c r="AZ50" s="4"/>
      <c r="BE50" s="92"/>
      <c r="BF50" s="134"/>
      <c r="BG50" s="92"/>
      <c r="BH50" s="134"/>
      <c r="BI50" s="92"/>
      <c r="BJ50" s="134"/>
      <c r="BK50" s="92"/>
    </row>
    <row r="51" spans="1:63" ht="18.95" customHeight="1" x14ac:dyDescent="0.25">
      <c r="A51" s="4"/>
      <c r="B51" s="122" t="s">
        <v>363</v>
      </c>
      <c r="C51" s="43"/>
      <c r="D51" s="43"/>
      <c r="E51" s="43"/>
      <c r="F51" s="43"/>
      <c r="G51" s="43"/>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
      <c r="AZ51" s="4"/>
      <c r="BE51" s="43"/>
      <c r="BF51" s="4"/>
      <c r="BG51" s="43"/>
      <c r="BH51" s="4"/>
      <c r="BI51" s="43"/>
      <c r="BJ51" s="4"/>
      <c r="BK51" s="43"/>
    </row>
    <row r="52" spans="1:63" ht="18.95" customHeight="1" x14ac:dyDescent="0.25">
      <c r="A52" s="4"/>
      <c r="B52" s="123" t="s">
        <v>363</v>
      </c>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E52" s="4"/>
      <c r="BF52" s="4"/>
      <c r="BG52" s="4"/>
      <c r="BH52" s="4"/>
      <c r="BI52" s="4"/>
      <c r="BJ52" s="4"/>
      <c r="BK52" s="4"/>
    </row>
    <row r="53" spans="1:63" ht="18.95" customHeight="1" x14ac:dyDescent="0.25">
      <c r="A53" s="4"/>
      <c r="B53" s="123" t="s">
        <v>363</v>
      </c>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E53" s="4"/>
      <c r="BF53" s="4"/>
      <c r="BG53" s="4"/>
      <c r="BH53" s="4"/>
      <c r="BI53" s="4"/>
      <c r="BJ53" s="4"/>
      <c r="BK53" s="4"/>
    </row>
    <row r="54" spans="1:63" ht="18.95" customHeight="1" x14ac:dyDescent="0.25">
      <c r="A54" s="4"/>
      <c r="B54" s="123" t="s">
        <v>363</v>
      </c>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E54" s="4"/>
      <c r="BF54" s="4"/>
      <c r="BG54" s="4"/>
      <c r="BH54" s="4"/>
      <c r="BI54" s="4"/>
      <c r="BJ54" s="4"/>
      <c r="BK54" s="4"/>
    </row>
    <row r="55" spans="1:63" ht="18.95" customHeight="1" x14ac:dyDescent="0.25">
      <c r="A55" s="4"/>
      <c r="B55" s="123" t="s">
        <v>363</v>
      </c>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E55" s="4"/>
      <c r="BF55" s="4"/>
      <c r="BG55" s="4"/>
      <c r="BH55" s="4"/>
      <c r="BI55" s="4"/>
      <c r="BJ55" s="4"/>
      <c r="BK55" s="4"/>
    </row>
    <row r="56" spans="1:63" ht="18.95" customHeight="1" x14ac:dyDescent="0.25">
      <c r="A56" s="4"/>
      <c r="B56" s="123" t="s">
        <v>363</v>
      </c>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E56" s="4"/>
      <c r="BF56" s="4"/>
      <c r="BG56" s="4"/>
      <c r="BH56" s="4"/>
      <c r="BI56" s="4"/>
      <c r="BJ56" s="4"/>
      <c r="BK56" s="4"/>
    </row>
    <row r="57" spans="1:63" s="4" customFormat="1" x14ac:dyDescent="0.25"/>
    <row r="58" spans="1:63" s="4" customFormat="1" x14ac:dyDescent="0.25"/>
    <row r="59" spans="1:63" s="4" customFormat="1" x14ac:dyDescent="0.25"/>
    <row r="60" spans="1:63" s="4" customFormat="1" x14ac:dyDescent="0.25"/>
    <row r="61" spans="1:63" s="4" customFormat="1" x14ac:dyDescent="0.25"/>
    <row r="62" spans="1:63" s="4" customFormat="1" x14ac:dyDescent="0.25"/>
    <row r="63" spans="1:63" s="4" customFormat="1" x14ac:dyDescent="0.25"/>
    <row r="64" spans="1:63" s="4" customFormat="1" x14ac:dyDescent="0.25"/>
    <row r="65" s="4" customFormat="1" x14ac:dyDescent="0.25"/>
    <row r="66" s="4" customFormat="1" x14ac:dyDescent="0.25"/>
    <row r="67" s="4" customFormat="1" x14ac:dyDescent="0.25"/>
    <row r="68" s="4" customFormat="1" x14ac:dyDescent="0.25"/>
    <row r="69" s="4" customFormat="1" x14ac:dyDescent="0.25"/>
    <row r="70" s="4" customFormat="1" x14ac:dyDescent="0.25"/>
    <row r="71" s="4" customFormat="1" x14ac:dyDescent="0.25"/>
    <row r="72" s="4" customFormat="1" x14ac:dyDescent="0.25"/>
    <row r="73" s="4" customFormat="1" x14ac:dyDescent="0.25"/>
    <row r="74" s="4" customFormat="1" x14ac:dyDescent="0.25"/>
    <row r="75" s="4" customFormat="1" x14ac:dyDescent="0.25"/>
    <row r="76" s="4" customFormat="1" x14ac:dyDescent="0.25"/>
    <row r="77" s="4" customFormat="1" x14ac:dyDescent="0.25"/>
    <row r="78" s="4" customFormat="1" x14ac:dyDescent="0.25"/>
    <row r="79" s="4" customFormat="1" x14ac:dyDescent="0.25"/>
    <row r="80" s="4" customFormat="1" x14ac:dyDescent="0.25"/>
    <row r="81" s="4" customFormat="1" x14ac:dyDescent="0.25"/>
    <row r="82" s="4" customFormat="1" x14ac:dyDescent="0.25"/>
    <row r="83" s="4" customFormat="1" x14ac:dyDescent="0.25"/>
    <row r="84" s="4" customFormat="1" x14ac:dyDescent="0.25"/>
    <row r="85" s="4" customFormat="1" x14ac:dyDescent="0.25"/>
    <row r="86" s="4" customFormat="1" x14ac:dyDescent="0.25"/>
    <row r="87" s="4" customFormat="1" x14ac:dyDescent="0.25"/>
    <row r="88" s="4" customFormat="1" x14ac:dyDescent="0.25"/>
    <row r="89" s="4" customFormat="1" x14ac:dyDescent="0.25"/>
    <row r="90" s="4" customFormat="1" x14ac:dyDescent="0.25"/>
    <row r="91" s="4" customFormat="1" x14ac:dyDescent="0.25"/>
    <row r="92" s="4" customFormat="1" x14ac:dyDescent="0.25"/>
    <row r="93" s="4" customFormat="1" x14ac:dyDescent="0.25"/>
    <row r="94" s="4" customFormat="1" x14ac:dyDescent="0.25"/>
    <row r="95" s="4" customFormat="1" x14ac:dyDescent="0.25"/>
    <row r="96" s="4" customFormat="1" x14ac:dyDescent="0.25"/>
    <row r="97" s="4" customFormat="1" x14ac:dyDescent="0.25"/>
    <row r="98" s="4" customFormat="1" x14ac:dyDescent="0.25"/>
    <row r="99" s="4" customFormat="1" x14ac:dyDescent="0.25"/>
    <row r="100" s="4" customFormat="1" x14ac:dyDescent="0.25"/>
    <row r="101" s="4" customFormat="1" x14ac:dyDescent="0.25"/>
    <row r="102" s="4" customFormat="1" x14ac:dyDescent="0.25"/>
    <row r="103" s="4" customFormat="1" x14ac:dyDescent="0.25"/>
    <row r="104" s="4" customFormat="1" x14ac:dyDescent="0.25"/>
    <row r="105" s="4" customFormat="1" x14ac:dyDescent="0.25"/>
    <row r="106" s="4" customFormat="1" x14ac:dyDescent="0.25"/>
    <row r="107" s="4" customFormat="1" x14ac:dyDescent="0.25"/>
    <row r="108" s="4" customFormat="1" x14ac:dyDescent="0.25"/>
    <row r="109" s="4" customFormat="1" x14ac:dyDescent="0.25"/>
    <row r="110" s="4" customFormat="1" x14ac:dyDescent="0.25"/>
    <row r="111" s="4" customFormat="1" x14ac:dyDescent="0.25"/>
    <row r="112" s="4" customFormat="1" x14ac:dyDescent="0.25"/>
    <row r="113" s="4" customFormat="1" x14ac:dyDescent="0.25"/>
    <row r="114" s="4" customFormat="1" x14ac:dyDescent="0.25"/>
    <row r="115" s="4" customFormat="1" x14ac:dyDescent="0.25"/>
    <row r="116" s="4" customFormat="1" x14ac:dyDescent="0.25"/>
    <row r="117" s="4" customFormat="1" x14ac:dyDescent="0.25"/>
    <row r="118" s="4" customFormat="1" x14ac:dyDescent="0.25"/>
    <row r="119" s="4" customFormat="1" x14ac:dyDescent="0.25"/>
    <row r="120" s="4" customFormat="1" x14ac:dyDescent="0.25"/>
    <row r="121" s="4" customFormat="1" x14ac:dyDescent="0.25"/>
    <row r="122" s="4" customFormat="1" x14ac:dyDescent="0.25"/>
    <row r="123" s="4" customFormat="1" x14ac:dyDescent="0.25"/>
    <row r="124" s="4" customFormat="1" x14ac:dyDescent="0.25"/>
    <row r="125" s="4" customFormat="1" x14ac:dyDescent="0.25"/>
    <row r="126" s="4" customFormat="1" x14ac:dyDescent="0.25"/>
    <row r="127" s="4" customFormat="1" x14ac:dyDescent="0.25"/>
    <row r="128" s="4" customFormat="1" x14ac:dyDescent="0.25"/>
    <row r="129" s="4" customFormat="1" x14ac:dyDescent="0.25"/>
    <row r="130" s="4" customFormat="1" x14ac:dyDescent="0.25"/>
    <row r="131" s="4" customFormat="1" x14ac:dyDescent="0.25"/>
    <row r="132" s="4" customFormat="1" x14ac:dyDescent="0.25"/>
    <row r="133" s="4" customFormat="1" x14ac:dyDescent="0.25"/>
    <row r="134" s="4" customFormat="1" x14ac:dyDescent="0.25"/>
    <row r="135" s="4" customFormat="1" x14ac:dyDescent="0.25"/>
    <row r="136" s="4" customFormat="1" x14ac:dyDescent="0.25"/>
    <row r="137" s="4" customFormat="1" x14ac:dyDescent="0.25"/>
    <row r="138" s="4" customFormat="1" x14ac:dyDescent="0.25"/>
    <row r="139" s="4" customFormat="1" x14ac:dyDescent="0.25"/>
    <row r="140" s="4" customFormat="1" x14ac:dyDescent="0.25"/>
    <row r="141" s="4" customFormat="1" x14ac:dyDescent="0.25"/>
    <row r="142" s="4" customFormat="1" x14ac:dyDescent="0.25"/>
    <row r="143" s="4" customFormat="1" x14ac:dyDescent="0.25"/>
    <row r="144" s="4" customFormat="1" x14ac:dyDescent="0.25"/>
    <row r="145" s="4" customFormat="1" x14ac:dyDescent="0.25"/>
    <row r="146" s="4" customFormat="1" x14ac:dyDescent="0.25"/>
    <row r="147" s="4" customFormat="1" x14ac:dyDescent="0.25"/>
    <row r="148" s="4" customFormat="1" x14ac:dyDescent="0.25"/>
    <row r="149" s="4" customFormat="1" x14ac:dyDescent="0.25"/>
    <row r="150" s="4" customFormat="1" x14ac:dyDescent="0.25"/>
    <row r="151" s="4" customFormat="1" x14ac:dyDescent="0.25"/>
    <row r="152" s="4" customFormat="1" x14ac:dyDescent="0.25"/>
    <row r="153" s="4" customFormat="1" x14ac:dyDescent="0.25"/>
    <row r="154" s="4" customFormat="1" x14ac:dyDescent="0.25"/>
    <row r="155" s="4" customFormat="1" x14ac:dyDescent="0.25"/>
    <row r="156" s="4" customFormat="1" x14ac:dyDescent="0.25"/>
    <row r="157" s="4" customFormat="1" x14ac:dyDescent="0.25"/>
    <row r="158" s="4" customFormat="1" x14ac:dyDescent="0.25"/>
    <row r="159" s="4" customFormat="1" x14ac:dyDescent="0.25"/>
    <row r="160" s="4" customFormat="1" x14ac:dyDescent="0.25"/>
    <row r="161" s="4" customFormat="1" x14ac:dyDescent="0.25"/>
    <row r="162" s="4" customFormat="1" x14ac:dyDescent="0.25"/>
    <row r="163" s="4" customFormat="1" x14ac:dyDescent="0.25"/>
    <row r="164" s="4" customFormat="1" x14ac:dyDescent="0.25"/>
    <row r="165" s="4" customFormat="1" x14ac:dyDescent="0.25"/>
    <row r="166" s="4" customFormat="1" x14ac:dyDescent="0.25"/>
    <row r="167" s="4" customFormat="1" x14ac:dyDescent="0.25"/>
    <row r="168" s="4" customFormat="1" x14ac:dyDescent="0.25"/>
    <row r="169" s="4" customFormat="1" x14ac:dyDescent="0.25"/>
    <row r="170" s="4" customFormat="1" x14ac:dyDescent="0.25"/>
    <row r="171" s="4" customFormat="1" x14ac:dyDescent="0.25"/>
    <row r="172" s="4" customFormat="1" x14ac:dyDescent="0.25"/>
    <row r="173" s="4" customFormat="1" x14ac:dyDescent="0.25"/>
    <row r="174" s="4" customFormat="1" x14ac:dyDescent="0.25"/>
    <row r="175" s="4" customFormat="1" x14ac:dyDescent="0.25"/>
    <row r="176" s="4" customFormat="1" x14ac:dyDescent="0.25"/>
    <row r="177" s="4" customFormat="1" x14ac:dyDescent="0.25"/>
    <row r="178" s="4" customFormat="1" x14ac:dyDescent="0.25"/>
    <row r="179" s="4" customFormat="1" x14ac:dyDescent="0.25"/>
    <row r="180" s="4" customFormat="1" x14ac:dyDescent="0.25"/>
    <row r="181" s="4" customFormat="1" x14ac:dyDescent="0.25"/>
    <row r="182" s="4" customFormat="1" x14ac:dyDescent="0.25"/>
    <row r="183" s="4" customFormat="1" x14ac:dyDescent="0.25"/>
    <row r="184" s="4" customFormat="1" x14ac:dyDescent="0.25"/>
    <row r="185" s="4" customFormat="1" x14ac:dyDescent="0.25"/>
    <row r="186" s="4" customFormat="1" x14ac:dyDescent="0.25"/>
    <row r="187" s="4" customFormat="1" x14ac:dyDescent="0.25"/>
    <row r="188" s="4" customFormat="1" x14ac:dyDescent="0.25"/>
    <row r="189" s="4" customFormat="1" x14ac:dyDescent="0.25"/>
    <row r="190" s="4" customFormat="1" x14ac:dyDescent="0.25"/>
    <row r="191" s="4" customFormat="1" x14ac:dyDescent="0.25"/>
    <row r="192" s="4" customFormat="1" x14ac:dyDescent="0.25"/>
    <row r="193" s="4" customFormat="1" x14ac:dyDescent="0.25"/>
    <row r="194" s="4" customFormat="1" x14ac:dyDescent="0.25"/>
    <row r="195" s="4" customFormat="1" x14ac:dyDescent="0.25"/>
    <row r="196" s="4" customFormat="1" x14ac:dyDescent="0.25"/>
    <row r="197" s="4" customFormat="1" x14ac:dyDescent="0.25"/>
    <row r="198" s="4" customFormat="1" x14ac:dyDescent="0.25"/>
    <row r="199" s="4" customFormat="1" x14ac:dyDescent="0.25"/>
    <row r="200" s="4" customFormat="1" x14ac:dyDescent="0.25"/>
    <row r="201" s="4" customFormat="1" x14ac:dyDescent="0.25"/>
    <row r="202" s="4" customFormat="1" x14ac:dyDescent="0.25"/>
    <row r="203" s="4" customFormat="1" x14ac:dyDescent="0.25"/>
    <row r="204" s="4" customFormat="1" x14ac:dyDescent="0.25"/>
    <row r="205" s="4" customFormat="1" x14ac:dyDescent="0.25"/>
    <row r="206" s="4" customFormat="1" x14ac:dyDescent="0.25"/>
    <row r="207" s="4" customFormat="1" x14ac:dyDescent="0.25"/>
    <row r="208" s="4" customFormat="1" x14ac:dyDescent="0.25"/>
    <row r="209" s="4" customFormat="1" x14ac:dyDescent="0.25"/>
    <row r="210" s="4" customFormat="1" x14ac:dyDescent="0.25"/>
    <row r="211" s="4" customFormat="1" x14ac:dyDescent="0.25"/>
    <row r="212" s="4" customFormat="1" x14ac:dyDescent="0.25"/>
    <row r="213" s="4" customFormat="1" x14ac:dyDescent="0.25"/>
    <row r="214" s="4" customFormat="1" x14ac:dyDescent="0.25"/>
    <row r="215" s="4" customFormat="1" x14ac:dyDescent="0.25"/>
    <row r="216" s="4" customFormat="1" x14ac:dyDescent="0.25"/>
    <row r="217" s="4" customFormat="1" x14ac:dyDescent="0.25"/>
    <row r="218" s="4" customFormat="1" x14ac:dyDescent="0.25"/>
    <row r="219" s="4" customFormat="1" x14ac:dyDescent="0.25"/>
    <row r="220" s="4" customFormat="1" x14ac:dyDescent="0.25"/>
    <row r="221" s="4" customFormat="1" x14ac:dyDescent="0.25"/>
    <row r="222" s="4" customFormat="1" x14ac:dyDescent="0.25"/>
    <row r="223" s="4" customFormat="1" x14ac:dyDescent="0.25"/>
    <row r="224" s="4" customFormat="1" x14ac:dyDescent="0.25"/>
    <row r="225" s="4" customFormat="1" x14ac:dyDescent="0.25"/>
    <row r="226" s="4" customFormat="1" x14ac:dyDescent="0.25"/>
    <row r="227" s="4" customFormat="1" x14ac:dyDescent="0.25"/>
    <row r="228" s="4" customFormat="1" x14ac:dyDescent="0.25"/>
    <row r="229" s="4" customFormat="1" x14ac:dyDescent="0.25"/>
    <row r="230" s="4" customFormat="1" x14ac:dyDescent="0.25"/>
    <row r="231" s="4" customFormat="1" x14ac:dyDescent="0.25"/>
    <row r="232" s="4" customFormat="1" x14ac:dyDescent="0.25"/>
    <row r="233" s="4" customFormat="1" x14ac:dyDescent="0.25"/>
    <row r="234" s="4" customFormat="1" x14ac:dyDescent="0.25"/>
    <row r="235" s="4" customFormat="1" x14ac:dyDescent="0.25"/>
    <row r="236" s="4" customFormat="1" x14ac:dyDescent="0.25"/>
    <row r="237" s="4" customFormat="1" x14ac:dyDescent="0.25"/>
    <row r="238" s="4" customFormat="1" x14ac:dyDescent="0.25"/>
    <row r="239" s="4" customFormat="1" x14ac:dyDescent="0.25"/>
    <row r="240" s="4" customFormat="1" x14ac:dyDescent="0.25"/>
    <row r="241" s="4" customFormat="1" x14ac:dyDescent="0.25"/>
    <row r="242" s="4" customFormat="1" x14ac:dyDescent="0.25"/>
    <row r="243" s="4" customFormat="1" x14ac:dyDescent="0.25"/>
    <row r="244" s="4" customFormat="1" x14ac:dyDescent="0.25"/>
    <row r="245" s="4" customFormat="1" x14ac:dyDescent="0.25"/>
    <row r="246" s="4" customFormat="1" x14ac:dyDescent="0.25"/>
    <row r="247" s="4" customFormat="1" x14ac:dyDescent="0.25"/>
    <row r="248" s="4" customFormat="1" x14ac:dyDescent="0.25"/>
    <row r="249" s="4" customFormat="1" x14ac:dyDescent="0.25"/>
    <row r="250" s="4" customFormat="1" x14ac:dyDescent="0.25"/>
    <row r="251" s="4" customFormat="1" x14ac:dyDescent="0.25"/>
    <row r="252" s="4" customFormat="1" x14ac:dyDescent="0.25"/>
    <row r="253" s="4" customFormat="1" x14ac:dyDescent="0.25"/>
    <row r="254" s="4" customFormat="1" x14ac:dyDescent="0.25"/>
    <row r="255" s="4" customFormat="1" x14ac:dyDescent="0.25"/>
    <row r="256" s="4" customFormat="1" x14ac:dyDescent="0.25"/>
    <row r="257" s="4" customFormat="1" x14ac:dyDescent="0.25"/>
    <row r="258" s="4" customFormat="1" x14ac:dyDescent="0.25"/>
    <row r="259" s="4" customFormat="1" x14ac:dyDescent="0.25"/>
    <row r="260" s="4" customFormat="1" x14ac:dyDescent="0.25"/>
    <row r="261" s="4" customFormat="1" x14ac:dyDescent="0.25"/>
    <row r="262" s="4" customFormat="1" x14ac:dyDescent="0.25"/>
    <row r="263" s="4" customFormat="1" x14ac:dyDescent="0.25"/>
    <row r="264" s="4" customForma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CD51"/>
  <sheetViews>
    <sheetView zoomScaleNormal="100" workbookViewId="0">
      <selection activeCell="C30" sqref="C30"/>
    </sheetView>
  </sheetViews>
  <sheetFormatPr baseColWidth="10" defaultRowHeight="15" x14ac:dyDescent="0.25"/>
  <cols>
    <col min="1" max="1" width="41.140625" customWidth="1"/>
    <col min="2" max="2" width="29.140625" customWidth="1"/>
  </cols>
  <sheetData>
    <row r="1" spans="1:82" x14ac:dyDescent="0.25">
      <c r="A1" s="4"/>
      <c r="B1" s="4"/>
      <c r="C1" s="4"/>
      <c r="D1" s="4"/>
      <c r="E1" s="4"/>
      <c r="F1" s="4"/>
      <c r="G1" s="4"/>
      <c r="H1" s="4"/>
      <c r="I1" s="4"/>
      <c r="J1" s="4"/>
      <c r="K1" s="4"/>
      <c r="L1" s="4"/>
      <c r="M1" s="4"/>
      <c r="N1" s="4"/>
      <c r="O1" s="4"/>
      <c r="P1" s="4"/>
      <c r="Q1" s="4"/>
      <c r="R1" s="4"/>
      <c r="S1" s="4"/>
      <c r="T1" s="4"/>
      <c r="U1" s="4"/>
    </row>
    <row r="2" spans="1:82" ht="15.75" x14ac:dyDescent="0.25">
      <c r="A2" s="57" t="s">
        <v>289</v>
      </c>
      <c r="B2" s="4"/>
      <c r="C2" s="46" t="s">
        <v>254</v>
      </c>
      <c r="D2" s="311" t="s">
        <v>261</v>
      </c>
      <c r="E2" s="312" t="s">
        <v>262</v>
      </c>
      <c r="F2" s="312" t="s">
        <v>263</v>
      </c>
      <c r="G2" s="312" t="s">
        <v>259</v>
      </c>
      <c r="H2" s="312" t="s">
        <v>260</v>
      </c>
      <c r="I2" s="312" t="s">
        <v>264</v>
      </c>
      <c r="J2" s="312" t="s">
        <v>265</v>
      </c>
      <c r="K2" s="312" t="s">
        <v>266</v>
      </c>
      <c r="L2" s="312" t="s">
        <v>241</v>
      </c>
      <c r="M2" s="312" t="s">
        <v>242</v>
      </c>
      <c r="N2" s="312" t="s">
        <v>267</v>
      </c>
      <c r="O2" s="312" t="s">
        <v>243</v>
      </c>
      <c r="P2" s="312" t="s">
        <v>268</v>
      </c>
      <c r="Q2" s="312" t="s">
        <v>244</v>
      </c>
      <c r="R2" s="312" t="s">
        <v>269</v>
      </c>
      <c r="S2" s="312" t="s">
        <v>270</v>
      </c>
      <c r="T2" s="312" t="s">
        <v>245</v>
      </c>
      <c r="U2" s="312" t="s">
        <v>271</v>
      </c>
      <c r="V2" s="312" t="s">
        <v>246</v>
      </c>
      <c r="W2" s="312" t="s">
        <v>258</v>
      </c>
      <c r="X2" s="312" t="s">
        <v>247</v>
      </c>
      <c r="Y2" s="312" t="s">
        <v>248</v>
      </c>
      <c r="Z2" s="312" t="s">
        <v>69</v>
      </c>
      <c r="AA2" s="312" t="s">
        <v>249</v>
      </c>
      <c r="AB2" s="312" t="s">
        <v>250</v>
      </c>
      <c r="AC2" s="312" t="s">
        <v>290</v>
      </c>
      <c r="AD2" s="312" t="s">
        <v>251</v>
      </c>
      <c r="AE2" s="312" t="s">
        <v>252</v>
      </c>
      <c r="AF2" s="312" t="s">
        <v>272</v>
      </c>
      <c r="AG2" s="312" t="s">
        <v>273</v>
      </c>
      <c r="AH2" s="312" t="s">
        <v>274</v>
      </c>
      <c r="AI2" s="312" t="s">
        <v>275</v>
      </c>
      <c r="AJ2" s="312" t="s">
        <v>276</v>
      </c>
      <c r="AK2" s="312" t="s">
        <v>277</v>
      </c>
      <c r="AL2" s="312" t="s">
        <v>240</v>
      </c>
      <c r="AM2" s="312" t="s">
        <v>278</v>
      </c>
      <c r="AN2" s="312" t="s">
        <v>279</v>
      </c>
      <c r="AO2" s="312" t="s">
        <v>280</v>
      </c>
      <c r="AP2" s="312" t="s">
        <v>281</v>
      </c>
      <c r="AQ2" s="312" t="s">
        <v>282</v>
      </c>
      <c r="AR2" s="312" t="s">
        <v>283</v>
      </c>
      <c r="AS2" s="312" t="s">
        <v>284</v>
      </c>
      <c r="AT2" s="312" t="s">
        <v>286</v>
      </c>
      <c r="AU2" s="312" t="s">
        <v>287</v>
      </c>
      <c r="AV2" s="312" t="s">
        <v>288</v>
      </c>
      <c r="AW2" s="312" t="s">
        <v>612</v>
      </c>
      <c r="AX2" s="312" t="s">
        <v>613</v>
      </c>
      <c r="AY2" s="312" t="s">
        <v>614</v>
      </c>
      <c r="AZ2" s="312" t="s">
        <v>615</v>
      </c>
      <c r="BA2" s="312" t="s">
        <v>616</v>
      </c>
      <c r="BB2" s="312" t="s">
        <v>617</v>
      </c>
      <c r="BC2" s="312" t="s">
        <v>618</v>
      </c>
      <c r="BD2" s="312" t="s">
        <v>619</v>
      </c>
      <c r="BE2" s="312" t="s">
        <v>620</v>
      </c>
      <c r="BF2" s="312" t="s">
        <v>621</v>
      </c>
      <c r="BG2" s="312" t="s">
        <v>622</v>
      </c>
      <c r="BH2" s="312" t="s">
        <v>623</v>
      </c>
      <c r="BI2" s="312" t="s">
        <v>624</v>
      </c>
      <c r="BJ2" s="312" t="s">
        <v>625</v>
      </c>
      <c r="BK2" s="312" t="s">
        <v>626</v>
      </c>
      <c r="BL2" s="312" t="s">
        <v>627</v>
      </c>
      <c r="BM2" s="312" t="s">
        <v>628</v>
      </c>
      <c r="BN2" s="312" t="s">
        <v>629</v>
      </c>
      <c r="BO2" s="312" t="s">
        <v>630</v>
      </c>
      <c r="BP2" s="312" t="s">
        <v>631</v>
      </c>
      <c r="BQ2" s="312" t="s">
        <v>632</v>
      </c>
      <c r="BR2" s="312" t="s">
        <v>633</v>
      </c>
      <c r="BS2" s="321" t="s">
        <v>600</v>
      </c>
      <c r="BT2" s="321" t="s">
        <v>285</v>
      </c>
      <c r="BU2" s="321" t="s">
        <v>601</v>
      </c>
      <c r="BV2" s="321" t="s">
        <v>602</v>
      </c>
      <c r="BW2" s="321" t="s">
        <v>603</v>
      </c>
      <c r="BX2" s="321" t="s">
        <v>604</v>
      </c>
      <c r="BY2" s="321" t="s">
        <v>605</v>
      </c>
      <c r="BZ2" s="321" t="s">
        <v>606</v>
      </c>
      <c r="CA2" s="321" t="s">
        <v>607</v>
      </c>
      <c r="CB2" s="321" t="s">
        <v>608</v>
      </c>
      <c r="CC2" s="321" t="s">
        <v>609</v>
      </c>
      <c r="CD2" s="321" t="s">
        <v>611</v>
      </c>
    </row>
    <row r="3" spans="1:82" x14ac:dyDescent="0.25">
      <c r="A3" s="62" t="s">
        <v>673</v>
      </c>
      <c r="B3" s="4"/>
      <c r="C3" s="46" t="s">
        <v>255</v>
      </c>
      <c r="D3" s="313" t="s">
        <v>256</v>
      </c>
      <c r="E3" s="314" t="s">
        <v>256</v>
      </c>
      <c r="F3" s="314" t="s">
        <v>256</v>
      </c>
      <c r="G3" s="314" t="s">
        <v>256</v>
      </c>
      <c r="H3" s="314" t="s">
        <v>256</v>
      </c>
      <c r="I3" s="314" t="s">
        <v>256</v>
      </c>
      <c r="J3" s="314" t="s">
        <v>256</v>
      </c>
      <c r="K3" s="314" t="s">
        <v>256</v>
      </c>
      <c r="L3" s="314" t="s">
        <v>256</v>
      </c>
      <c r="M3" s="314" t="s">
        <v>256</v>
      </c>
      <c r="N3" s="314" t="s">
        <v>256</v>
      </c>
      <c r="O3" s="314" t="s">
        <v>256</v>
      </c>
      <c r="P3" s="314" t="s">
        <v>256</v>
      </c>
      <c r="Q3" s="314" t="s">
        <v>256</v>
      </c>
      <c r="R3" s="314" t="s">
        <v>256</v>
      </c>
      <c r="S3" s="314" t="s">
        <v>256</v>
      </c>
      <c r="T3" s="314" t="s">
        <v>256</v>
      </c>
      <c r="U3" s="314" t="s">
        <v>256</v>
      </c>
      <c r="V3" s="314" t="s">
        <v>256</v>
      </c>
      <c r="W3" s="314" t="s">
        <v>256</v>
      </c>
      <c r="X3" s="314" t="s">
        <v>256</v>
      </c>
      <c r="Y3" s="314" t="s">
        <v>256</v>
      </c>
      <c r="Z3" s="314" t="s">
        <v>256</v>
      </c>
      <c r="AA3" s="314" t="s">
        <v>256</v>
      </c>
      <c r="AB3" s="314" t="s">
        <v>256</v>
      </c>
      <c r="AC3" s="314" t="s">
        <v>256</v>
      </c>
      <c r="AD3" s="314" t="s">
        <v>256</v>
      </c>
      <c r="AE3" s="314" t="s">
        <v>256</v>
      </c>
      <c r="AF3" s="314" t="s">
        <v>256</v>
      </c>
      <c r="AG3" s="314" t="s">
        <v>256</v>
      </c>
      <c r="AH3" s="314" t="s">
        <v>256</v>
      </c>
      <c r="AI3" s="314" t="s">
        <v>256</v>
      </c>
      <c r="AJ3" s="314" t="s">
        <v>256</v>
      </c>
      <c r="AK3" s="314" t="s">
        <v>256</v>
      </c>
      <c r="AL3" s="314" t="s">
        <v>256</v>
      </c>
      <c r="AM3" s="314" t="s">
        <v>256</v>
      </c>
      <c r="AN3" s="314" t="s">
        <v>256</v>
      </c>
      <c r="AO3" s="314" t="s">
        <v>256</v>
      </c>
      <c r="AP3" s="314" t="s">
        <v>256</v>
      </c>
      <c r="AQ3" s="314" t="s">
        <v>256</v>
      </c>
      <c r="AR3" s="314" t="s">
        <v>256</v>
      </c>
      <c r="AS3" s="314" t="s">
        <v>256</v>
      </c>
      <c r="AT3" s="314" t="s">
        <v>256</v>
      </c>
      <c r="AU3" s="314" t="s">
        <v>256</v>
      </c>
      <c r="AV3" s="314" t="s">
        <v>256</v>
      </c>
      <c r="AW3" s="314" t="s">
        <v>256</v>
      </c>
      <c r="AX3" s="314" t="s">
        <v>256</v>
      </c>
      <c r="AY3" s="314" t="s">
        <v>256</v>
      </c>
      <c r="AZ3" s="314" t="s">
        <v>256</v>
      </c>
      <c r="BA3" s="314" t="s">
        <v>256</v>
      </c>
      <c r="BB3" s="314" t="s">
        <v>256</v>
      </c>
      <c r="BC3" s="314" t="s">
        <v>256</v>
      </c>
      <c r="BD3" s="314" t="s">
        <v>256</v>
      </c>
      <c r="BE3" s="314" t="s">
        <v>256</v>
      </c>
      <c r="BF3" s="314" t="s">
        <v>256</v>
      </c>
      <c r="BG3" s="314" t="s">
        <v>256</v>
      </c>
      <c r="BH3" s="314" t="s">
        <v>256</v>
      </c>
      <c r="BI3" s="314" t="s">
        <v>256</v>
      </c>
      <c r="BJ3" s="314" t="s">
        <v>256</v>
      </c>
      <c r="BK3" s="314" t="s">
        <v>256</v>
      </c>
      <c r="BL3" s="314" t="s">
        <v>256</v>
      </c>
      <c r="BM3" s="314" t="s">
        <v>256</v>
      </c>
      <c r="BN3" s="314" t="s">
        <v>256</v>
      </c>
      <c r="BO3" s="314" t="s">
        <v>256</v>
      </c>
      <c r="BP3" s="314" t="s">
        <v>256</v>
      </c>
      <c r="BQ3" s="314" t="s">
        <v>256</v>
      </c>
      <c r="BR3" s="314" t="s">
        <v>256</v>
      </c>
      <c r="BS3" s="322" t="s">
        <v>610</v>
      </c>
      <c r="BT3" s="322" t="s">
        <v>610</v>
      </c>
      <c r="BU3" s="322" t="s">
        <v>610</v>
      </c>
      <c r="BV3" s="322" t="s">
        <v>610</v>
      </c>
      <c r="BW3" s="322" t="s">
        <v>610</v>
      </c>
      <c r="BX3" s="322" t="s">
        <v>610</v>
      </c>
      <c r="BY3" s="322" t="s">
        <v>610</v>
      </c>
      <c r="BZ3" s="322" t="s">
        <v>610</v>
      </c>
      <c r="CA3" s="322" t="s">
        <v>610</v>
      </c>
      <c r="CB3" s="322" t="s">
        <v>610</v>
      </c>
      <c r="CC3" s="322"/>
      <c r="CD3" s="322"/>
    </row>
    <row r="4" spans="1:82" x14ac:dyDescent="0.25">
      <c r="A4" s="4"/>
      <c r="B4" s="315"/>
      <c r="C4" s="46" t="s">
        <v>595</v>
      </c>
      <c r="D4" s="60"/>
      <c r="E4" s="60"/>
      <c r="F4" s="60"/>
      <c r="G4" s="60">
        <v>2.8299999999999999E-2</v>
      </c>
      <c r="H4" s="60">
        <v>7.7200000000000003E-3</v>
      </c>
      <c r="I4" s="60"/>
      <c r="J4" s="60"/>
      <c r="K4" s="60"/>
      <c r="L4" s="60">
        <v>0.23499999999999999</v>
      </c>
      <c r="M4" s="60">
        <v>0.6</v>
      </c>
      <c r="N4" s="60"/>
      <c r="O4" s="60">
        <v>9.0999999999999998E-2</v>
      </c>
      <c r="P4" s="60">
        <v>7.73</v>
      </c>
      <c r="Q4" s="60">
        <v>0.46400000000000002</v>
      </c>
      <c r="R4" s="60"/>
      <c r="S4" s="60"/>
      <c r="T4" s="60">
        <v>0.153</v>
      </c>
      <c r="U4" s="60"/>
      <c r="V4" s="60">
        <v>5.8599999999999999E-2</v>
      </c>
      <c r="W4" s="60">
        <v>0.20599999999999999</v>
      </c>
      <c r="X4" s="60">
        <v>3.7499999999999999E-2</v>
      </c>
      <c r="Y4" s="60">
        <v>0.254</v>
      </c>
      <c r="Z4" s="60">
        <v>1.56</v>
      </c>
      <c r="AA4" s="60">
        <v>5.6599999999999998E-2</v>
      </c>
      <c r="AB4" s="60">
        <v>0.16600000000000001</v>
      </c>
      <c r="AC4" s="60">
        <v>2.6200000000000001E-2</v>
      </c>
      <c r="AD4" s="60">
        <v>0.16800000000000001</v>
      </c>
      <c r="AE4" s="60">
        <v>2.46E-2</v>
      </c>
      <c r="AF4" s="60"/>
      <c r="AG4" s="60"/>
      <c r="AH4" s="60"/>
      <c r="AI4" s="60"/>
      <c r="AJ4" s="60"/>
      <c r="AK4" s="60"/>
      <c r="AL4" s="60"/>
      <c r="AM4" s="60"/>
      <c r="AN4" s="60"/>
      <c r="AO4" s="60"/>
      <c r="AP4" s="60"/>
      <c r="AQ4" s="60"/>
      <c r="AR4" s="60"/>
      <c r="AS4" s="60"/>
      <c r="AT4" s="60"/>
      <c r="AU4" s="60"/>
      <c r="AV4" s="60"/>
      <c r="AW4" s="60"/>
      <c r="AX4" s="60"/>
      <c r="AY4" s="60"/>
      <c r="AZ4" s="60"/>
      <c r="BA4" s="60"/>
      <c r="BB4" s="60"/>
      <c r="BC4" s="60"/>
      <c r="BD4" s="60"/>
      <c r="BE4" s="60"/>
      <c r="BF4" s="60"/>
      <c r="BG4" s="60"/>
      <c r="BH4" s="60"/>
      <c r="BI4" s="60"/>
      <c r="BJ4" s="60"/>
      <c r="BK4" s="60"/>
      <c r="BL4" s="60"/>
      <c r="BM4" s="60"/>
      <c r="BN4" s="60"/>
      <c r="BO4" s="60"/>
      <c r="BP4" s="60"/>
      <c r="BQ4" s="60"/>
      <c r="BR4" s="60"/>
      <c r="BS4" s="60"/>
      <c r="BT4" s="60"/>
      <c r="BU4" s="60"/>
      <c r="BV4" s="60"/>
      <c r="BW4" s="60"/>
      <c r="BX4" s="60"/>
      <c r="BY4" s="60"/>
      <c r="BZ4" s="60"/>
      <c r="CA4" s="60"/>
      <c r="CB4" s="60"/>
      <c r="CC4" s="60"/>
      <c r="CD4" s="60"/>
    </row>
    <row r="5" spans="1:82" x14ac:dyDescent="0.25">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row>
    <row r="6" spans="1:82" x14ac:dyDescent="0.25">
      <c r="A6" s="61" t="s">
        <v>675</v>
      </c>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row>
    <row r="7" spans="1:82" x14ac:dyDescent="0.25">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row>
    <row r="8" spans="1:82" ht="15.75" x14ac:dyDescent="0.25">
      <c r="A8" s="327" t="s">
        <v>674</v>
      </c>
      <c r="B8" s="330" t="s">
        <v>253</v>
      </c>
      <c r="C8" s="52"/>
      <c r="D8" s="53" t="s">
        <v>261</v>
      </c>
      <c r="E8" s="54" t="s">
        <v>262</v>
      </c>
      <c r="F8" s="54" t="s">
        <v>263</v>
      </c>
      <c r="G8" s="54" t="s">
        <v>259</v>
      </c>
      <c r="H8" s="54" t="s">
        <v>260</v>
      </c>
      <c r="I8" s="54" t="s">
        <v>264</v>
      </c>
      <c r="J8" s="54" t="s">
        <v>265</v>
      </c>
      <c r="K8" s="54" t="s">
        <v>266</v>
      </c>
      <c r="L8" s="54" t="s">
        <v>241</v>
      </c>
      <c r="M8" s="54" t="s">
        <v>242</v>
      </c>
      <c r="N8" s="54" t="s">
        <v>267</v>
      </c>
      <c r="O8" s="54" t="s">
        <v>243</v>
      </c>
      <c r="P8" s="54" t="s">
        <v>268</v>
      </c>
      <c r="Q8" s="54" t="s">
        <v>244</v>
      </c>
      <c r="R8" s="54" t="s">
        <v>269</v>
      </c>
      <c r="S8" s="54" t="s">
        <v>270</v>
      </c>
      <c r="T8" s="54" t="s">
        <v>245</v>
      </c>
      <c r="U8" s="54" t="s">
        <v>271</v>
      </c>
      <c r="V8" s="54" t="s">
        <v>246</v>
      </c>
      <c r="W8" s="54" t="s">
        <v>258</v>
      </c>
      <c r="X8" s="54" t="s">
        <v>247</v>
      </c>
      <c r="Y8" s="54" t="s">
        <v>248</v>
      </c>
      <c r="Z8" s="54" t="s">
        <v>69</v>
      </c>
      <c r="AA8" s="54" t="s">
        <v>249</v>
      </c>
      <c r="AB8" s="54" t="s">
        <v>250</v>
      </c>
      <c r="AC8" s="54" t="s">
        <v>290</v>
      </c>
      <c r="AD8" s="54" t="s">
        <v>251</v>
      </c>
      <c r="AE8" s="54" t="s">
        <v>252</v>
      </c>
      <c r="AF8" s="54" t="s">
        <v>272</v>
      </c>
      <c r="AG8" s="54" t="s">
        <v>273</v>
      </c>
      <c r="AH8" s="54" t="s">
        <v>274</v>
      </c>
      <c r="AI8" s="54" t="s">
        <v>275</v>
      </c>
      <c r="AJ8" s="54" t="s">
        <v>276</v>
      </c>
      <c r="AK8" s="54" t="s">
        <v>277</v>
      </c>
      <c r="AL8" s="54" t="s">
        <v>240</v>
      </c>
      <c r="AM8" s="54" t="s">
        <v>278</v>
      </c>
      <c r="AN8" s="54" t="s">
        <v>279</v>
      </c>
      <c r="AO8" s="54" t="s">
        <v>280</v>
      </c>
      <c r="AP8" s="54" t="s">
        <v>281</v>
      </c>
      <c r="AQ8" s="54" t="s">
        <v>282</v>
      </c>
      <c r="AR8" s="54" t="s">
        <v>283</v>
      </c>
      <c r="AS8" s="54" t="s">
        <v>284</v>
      </c>
      <c r="AT8" s="54" t="s">
        <v>286</v>
      </c>
      <c r="AU8" s="54" t="s">
        <v>287</v>
      </c>
      <c r="AV8" s="54" t="s">
        <v>288</v>
      </c>
      <c r="AW8" s="54" t="s">
        <v>612</v>
      </c>
      <c r="AX8" s="54" t="s">
        <v>613</v>
      </c>
      <c r="AY8" s="54" t="s">
        <v>614</v>
      </c>
      <c r="AZ8" s="54" t="s">
        <v>615</v>
      </c>
      <c r="BA8" s="54" t="s">
        <v>616</v>
      </c>
      <c r="BB8" s="54" t="s">
        <v>617</v>
      </c>
      <c r="BC8" s="54" t="s">
        <v>618</v>
      </c>
      <c r="BD8" s="54" t="s">
        <v>619</v>
      </c>
      <c r="BE8" s="54" t="s">
        <v>620</v>
      </c>
      <c r="BF8" s="54" t="s">
        <v>621</v>
      </c>
      <c r="BG8" s="54" t="s">
        <v>622</v>
      </c>
      <c r="BH8" s="54" t="s">
        <v>623</v>
      </c>
      <c r="BI8" s="54" t="s">
        <v>624</v>
      </c>
      <c r="BJ8" s="54" t="s">
        <v>625</v>
      </c>
      <c r="BK8" s="54" t="s">
        <v>626</v>
      </c>
      <c r="BL8" s="54" t="s">
        <v>627</v>
      </c>
      <c r="BM8" s="54" t="s">
        <v>628</v>
      </c>
      <c r="BN8" s="54" t="s">
        <v>629</v>
      </c>
      <c r="BO8" s="54" t="s">
        <v>630</v>
      </c>
      <c r="BP8" s="54" t="s">
        <v>631</v>
      </c>
      <c r="BQ8" s="54" t="s">
        <v>632</v>
      </c>
      <c r="BR8" s="54" t="s">
        <v>633</v>
      </c>
      <c r="BS8" s="318" t="s">
        <v>600</v>
      </c>
      <c r="BT8" s="318" t="s">
        <v>285</v>
      </c>
      <c r="BU8" s="318" t="s">
        <v>601</v>
      </c>
      <c r="BV8" s="318" t="s">
        <v>602</v>
      </c>
      <c r="BW8" s="318" t="s">
        <v>603</v>
      </c>
      <c r="BX8" s="318" t="s">
        <v>604</v>
      </c>
      <c r="BY8" s="318" t="s">
        <v>605</v>
      </c>
      <c r="BZ8" s="318" t="s">
        <v>606</v>
      </c>
      <c r="CA8" s="318" t="s">
        <v>607</v>
      </c>
      <c r="CB8" s="318" t="s">
        <v>608</v>
      </c>
      <c r="CC8" s="318" t="s">
        <v>609</v>
      </c>
      <c r="CD8" s="318" t="s">
        <v>611</v>
      </c>
    </row>
    <row r="9" spans="1:82" ht="15.75" x14ac:dyDescent="0.25">
      <c r="A9" s="328"/>
      <c r="B9" s="331"/>
      <c r="C9" s="52"/>
      <c r="D9" s="55" t="s">
        <v>256</v>
      </c>
      <c r="E9" s="56" t="s">
        <v>256</v>
      </c>
      <c r="F9" s="56" t="s">
        <v>256</v>
      </c>
      <c r="G9" s="56" t="s">
        <v>256</v>
      </c>
      <c r="H9" s="56" t="s">
        <v>256</v>
      </c>
      <c r="I9" s="56" t="s">
        <v>256</v>
      </c>
      <c r="J9" s="56" t="s">
        <v>256</v>
      </c>
      <c r="K9" s="56" t="s">
        <v>256</v>
      </c>
      <c r="L9" s="56" t="s">
        <v>256</v>
      </c>
      <c r="M9" s="56" t="s">
        <v>256</v>
      </c>
      <c r="N9" s="56" t="s">
        <v>256</v>
      </c>
      <c r="O9" s="56" t="s">
        <v>256</v>
      </c>
      <c r="P9" s="56" t="s">
        <v>256</v>
      </c>
      <c r="Q9" s="56" t="s">
        <v>256</v>
      </c>
      <c r="R9" s="56" t="s">
        <v>256</v>
      </c>
      <c r="S9" s="56" t="s">
        <v>256</v>
      </c>
      <c r="T9" s="56" t="s">
        <v>256</v>
      </c>
      <c r="U9" s="56" t="s">
        <v>256</v>
      </c>
      <c r="V9" s="56" t="s">
        <v>256</v>
      </c>
      <c r="W9" s="56" t="s">
        <v>256</v>
      </c>
      <c r="X9" s="56" t="s">
        <v>256</v>
      </c>
      <c r="Y9" s="56" t="s">
        <v>256</v>
      </c>
      <c r="Z9" s="56" t="s">
        <v>256</v>
      </c>
      <c r="AA9" s="56" t="s">
        <v>256</v>
      </c>
      <c r="AB9" s="56" t="s">
        <v>256</v>
      </c>
      <c r="AC9" s="56" t="s">
        <v>256</v>
      </c>
      <c r="AD9" s="56" t="s">
        <v>256</v>
      </c>
      <c r="AE9" s="56" t="s">
        <v>256</v>
      </c>
      <c r="AF9" s="56" t="s">
        <v>256</v>
      </c>
      <c r="AG9" s="56" t="s">
        <v>256</v>
      </c>
      <c r="AH9" s="56" t="s">
        <v>256</v>
      </c>
      <c r="AI9" s="56" t="s">
        <v>256</v>
      </c>
      <c r="AJ9" s="56" t="s">
        <v>256</v>
      </c>
      <c r="AK9" s="56" t="s">
        <v>256</v>
      </c>
      <c r="AL9" s="56" t="s">
        <v>256</v>
      </c>
      <c r="AM9" s="56" t="s">
        <v>256</v>
      </c>
      <c r="AN9" s="56" t="s">
        <v>256</v>
      </c>
      <c r="AO9" s="56" t="s">
        <v>256</v>
      </c>
      <c r="AP9" s="56" t="s">
        <v>256</v>
      </c>
      <c r="AQ9" s="56" t="s">
        <v>256</v>
      </c>
      <c r="AR9" s="56" t="s">
        <v>256</v>
      </c>
      <c r="AS9" s="56" t="s">
        <v>256</v>
      </c>
      <c r="AT9" s="56" t="s">
        <v>256</v>
      </c>
      <c r="AU9" s="56" t="s">
        <v>256</v>
      </c>
      <c r="AV9" s="56" t="s">
        <v>256</v>
      </c>
      <c r="AW9" s="56" t="s">
        <v>256</v>
      </c>
      <c r="AX9" s="56" t="s">
        <v>256</v>
      </c>
      <c r="AY9" s="56" t="s">
        <v>256</v>
      </c>
      <c r="AZ9" s="56" t="s">
        <v>256</v>
      </c>
      <c r="BA9" s="56" t="s">
        <v>256</v>
      </c>
      <c r="BB9" s="56" t="s">
        <v>256</v>
      </c>
      <c r="BC9" s="56" t="s">
        <v>256</v>
      </c>
      <c r="BD9" s="56" t="s">
        <v>256</v>
      </c>
      <c r="BE9" s="56" t="s">
        <v>256</v>
      </c>
      <c r="BF9" s="56" t="s">
        <v>256</v>
      </c>
      <c r="BG9" s="56" t="s">
        <v>256</v>
      </c>
      <c r="BH9" s="56" t="s">
        <v>256</v>
      </c>
      <c r="BI9" s="56" t="s">
        <v>256</v>
      </c>
      <c r="BJ9" s="56" t="s">
        <v>256</v>
      </c>
      <c r="BK9" s="56" t="s">
        <v>256</v>
      </c>
      <c r="BL9" s="56" t="s">
        <v>256</v>
      </c>
      <c r="BM9" s="56" t="s">
        <v>256</v>
      </c>
      <c r="BN9" s="56" t="s">
        <v>256</v>
      </c>
      <c r="BO9" s="56" t="s">
        <v>256</v>
      </c>
      <c r="BP9" s="56" t="s">
        <v>256</v>
      </c>
      <c r="BQ9" s="56" t="s">
        <v>256</v>
      </c>
      <c r="BR9" s="56" t="s">
        <v>256</v>
      </c>
      <c r="BS9" s="319" t="s">
        <v>610</v>
      </c>
      <c r="BT9" s="319" t="s">
        <v>610</v>
      </c>
      <c r="BU9" s="319" t="s">
        <v>610</v>
      </c>
      <c r="BV9" s="319" t="s">
        <v>610</v>
      </c>
      <c r="BW9" s="319" t="s">
        <v>610</v>
      </c>
      <c r="BX9" s="319" t="s">
        <v>610</v>
      </c>
      <c r="BY9" s="319" t="s">
        <v>610</v>
      </c>
      <c r="BZ9" s="319" t="s">
        <v>610</v>
      </c>
      <c r="CA9" s="319" t="s">
        <v>610</v>
      </c>
      <c r="CB9" s="319" t="s">
        <v>610</v>
      </c>
      <c r="CC9" s="319"/>
      <c r="CD9" s="319"/>
    </row>
    <row r="10" spans="1:82" ht="15.75" x14ac:dyDescent="0.25">
      <c r="A10" s="320"/>
      <c r="B10" s="329"/>
      <c r="C10" s="52"/>
      <c r="D10" s="320"/>
      <c r="E10" s="320"/>
      <c r="F10" s="320"/>
      <c r="G10" s="320"/>
      <c r="H10" s="320"/>
      <c r="I10" s="320"/>
      <c r="J10" s="320"/>
      <c r="K10" s="320"/>
      <c r="L10" s="320"/>
      <c r="M10" s="320"/>
      <c r="N10" s="320"/>
      <c r="O10" s="320"/>
      <c r="P10" s="320"/>
      <c r="Q10" s="320"/>
      <c r="R10" s="320"/>
      <c r="S10" s="320"/>
      <c r="T10" s="320"/>
      <c r="U10" s="320"/>
      <c r="V10" s="320"/>
      <c r="W10" s="320"/>
      <c r="X10" s="320"/>
      <c r="Y10" s="320"/>
      <c r="Z10" s="320"/>
      <c r="AA10" s="320"/>
      <c r="AB10" s="320"/>
      <c r="AC10" s="320"/>
      <c r="AD10" s="320"/>
      <c r="AE10" s="320"/>
      <c r="AF10" s="320"/>
      <c r="AG10" s="320"/>
      <c r="AH10" s="320"/>
      <c r="AI10" s="320"/>
      <c r="AJ10" s="320"/>
      <c r="AK10" s="320"/>
      <c r="AL10" s="320"/>
      <c r="AM10" s="320"/>
      <c r="AN10" s="320"/>
      <c r="AO10" s="320"/>
      <c r="AP10" s="320"/>
      <c r="AQ10" s="320"/>
      <c r="AR10" s="320"/>
      <c r="AS10" s="320"/>
      <c r="AT10" s="320"/>
      <c r="AU10" s="320"/>
      <c r="AV10" s="320"/>
      <c r="AW10" s="320"/>
      <c r="AX10" s="320"/>
      <c r="AY10" s="320"/>
      <c r="AZ10" s="320"/>
      <c r="BA10" s="320"/>
      <c r="BB10" s="320"/>
      <c r="BC10" s="320"/>
      <c r="BD10" s="320"/>
      <c r="BE10" s="320"/>
      <c r="BF10" s="320"/>
      <c r="BG10" s="320"/>
      <c r="BH10" s="320"/>
      <c r="BI10" s="320"/>
      <c r="BJ10" s="320"/>
      <c r="BK10" s="320"/>
      <c r="BL10" s="320"/>
      <c r="BM10" s="320"/>
      <c r="BN10" s="320"/>
      <c r="BO10" s="320"/>
      <c r="BP10" s="320"/>
      <c r="BQ10" s="320"/>
      <c r="BR10" s="320"/>
      <c r="BS10" s="320"/>
      <c r="BT10" s="320"/>
      <c r="BU10" s="320"/>
      <c r="BV10" s="320"/>
      <c r="BW10" s="320"/>
      <c r="BX10" s="320"/>
      <c r="BY10" s="320"/>
      <c r="BZ10" s="320"/>
      <c r="CA10" s="320"/>
      <c r="CB10" s="320"/>
      <c r="CC10" s="320"/>
      <c r="CD10" s="320"/>
    </row>
    <row r="11" spans="1:82" ht="15.75" x14ac:dyDescent="0.25">
      <c r="A11" s="326" t="s">
        <v>673</v>
      </c>
      <c r="B11" s="332" t="s">
        <v>672</v>
      </c>
      <c r="C11" s="52"/>
      <c r="D11" s="58"/>
      <c r="E11" s="59"/>
      <c r="F11" s="59"/>
      <c r="G11" s="59">
        <v>2.8299999999999999E-2</v>
      </c>
      <c r="H11" s="59">
        <v>7.7200000000000003E-3</v>
      </c>
      <c r="I11" s="59"/>
      <c r="J11" s="59"/>
      <c r="K11" s="59"/>
      <c r="L11" s="59">
        <v>0.23499999999999999</v>
      </c>
      <c r="M11" s="59">
        <v>0.6</v>
      </c>
      <c r="N11" s="59"/>
      <c r="O11" s="59">
        <v>9.0999999999999998E-2</v>
      </c>
      <c r="P11" s="59">
        <v>7.73</v>
      </c>
      <c r="Q11" s="59">
        <v>0.46400000000000002</v>
      </c>
      <c r="R11" s="59"/>
      <c r="S11" s="59"/>
      <c r="T11" s="59">
        <v>0.153</v>
      </c>
      <c r="U11" s="59"/>
      <c r="V11" s="59">
        <v>5.8599999999999999E-2</v>
      </c>
      <c r="W11" s="59">
        <v>0.20599999999999999</v>
      </c>
      <c r="X11" s="59">
        <v>3.7499999999999999E-2</v>
      </c>
      <c r="Y11" s="59">
        <v>0.254</v>
      </c>
      <c r="Z11" s="59">
        <v>1.56</v>
      </c>
      <c r="AA11" s="59">
        <v>5.6599999999999998E-2</v>
      </c>
      <c r="AB11" s="59">
        <v>0.16600000000000001</v>
      </c>
      <c r="AC11" s="59">
        <v>2.6200000000000001E-2</v>
      </c>
      <c r="AD11" s="59">
        <v>0.16800000000000001</v>
      </c>
      <c r="AE11" s="59">
        <v>2.46E-2</v>
      </c>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c r="BS11" s="324"/>
      <c r="BT11" s="324"/>
      <c r="BU11" s="324"/>
      <c r="BV11" s="324"/>
      <c r="BW11" s="324"/>
      <c r="BX11" s="324"/>
      <c r="BY11" s="324"/>
      <c r="BZ11" s="324"/>
      <c r="CA11" s="324"/>
      <c r="CB11" s="324"/>
      <c r="CC11" s="324"/>
      <c r="CD11" s="324"/>
    </row>
    <row r="12" spans="1:82" ht="15.75" x14ac:dyDescent="0.25">
      <c r="A12" s="325" t="s">
        <v>663</v>
      </c>
      <c r="B12" s="333" t="s">
        <v>653</v>
      </c>
      <c r="C12" s="52"/>
      <c r="D12" s="58">
        <v>0.188</v>
      </c>
      <c r="E12" s="59">
        <v>2.3199999999999998</v>
      </c>
      <c r="F12" s="59">
        <v>2.41</v>
      </c>
      <c r="G12" s="59">
        <v>2.9000000000000001E-2</v>
      </c>
      <c r="H12" s="59">
        <v>8.0000000000000002E-3</v>
      </c>
      <c r="I12" s="59">
        <v>0.246</v>
      </c>
      <c r="J12" s="59">
        <v>1.4E-2</v>
      </c>
      <c r="K12" s="59">
        <v>545</v>
      </c>
      <c r="L12" s="59">
        <v>0.23699999999999999</v>
      </c>
      <c r="M12" s="59">
        <v>0.61199999999999999</v>
      </c>
      <c r="N12" s="59">
        <v>2.4700000000000002</v>
      </c>
      <c r="O12" s="59">
        <v>9.5000000000000001E-2</v>
      </c>
      <c r="P12" s="59">
        <v>7.26</v>
      </c>
      <c r="Q12" s="59">
        <v>0.46700000000000003</v>
      </c>
      <c r="R12" s="59">
        <v>3.87</v>
      </c>
      <c r="S12" s="59">
        <v>0.1066</v>
      </c>
      <c r="T12" s="59">
        <v>0.153</v>
      </c>
      <c r="U12" s="59">
        <v>445</v>
      </c>
      <c r="V12" s="59">
        <v>5.8000000000000003E-2</v>
      </c>
      <c r="W12" s="59">
        <v>0.20549999999999999</v>
      </c>
      <c r="X12" s="59">
        <v>3.7400000000000003E-2</v>
      </c>
      <c r="Y12" s="59">
        <v>0.254</v>
      </c>
      <c r="Z12" s="59">
        <v>1.57</v>
      </c>
      <c r="AA12" s="59">
        <v>5.6599999999999998E-2</v>
      </c>
      <c r="AB12" s="59">
        <v>0.16550000000000001</v>
      </c>
      <c r="AC12" s="59"/>
      <c r="AD12" s="59">
        <v>0.17</v>
      </c>
      <c r="AE12" s="59">
        <v>2.5399999999999999E-2</v>
      </c>
      <c r="AF12" s="59">
        <v>0.14000000000000001</v>
      </c>
      <c r="AG12" s="59"/>
      <c r="AH12" s="59"/>
      <c r="AI12" s="59"/>
      <c r="AJ12" s="59"/>
      <c r="AK12" s="59">
        <v>9.5000000000000001E-2</v>
      </c>
      <c r="AL12" s="59"/>
      <c r="AM12" s="59"/>
      <c r="AN12" s="59"/>
      <c r="AO12" s="59"/>
      <c r="AP12" s="59"/>
      <c r="AQ12" s="59">
        <v>0.92</v>
      </c>
      <c r="AR12" s="59">
        <v>1220</v>
      </c>
      <c r="AS12" s="59"/>
      <c r="AT12" s="59">
        <v>1.72</v>
      </c>
      <c r="AU12" s="59">
        <v>0.16</v>
      </c>
      <c r="AV12" s="59">
        <v>1.57</v>
      </c>
      <c r="AW12" s="59"/>
      <c r="AX12" s="59"/>
      <c r="AY12" s="59"/>
      <c r="AZ12" s="59"/>
      <c r="BA12" s="59"/>
      <c r="BB12" s="59"/>
      <c r="BC12" s="59"/>
      <c r="BD12" s="59"/>
      <c r="BE12" s="59"/>
      <c r="BF12" s="59"/>
      <c r="BG12" s="59"/>
      <c r="BH12" s="59"/>
      <c r="BI12" s="59"/>
      <c r="BJ12" s="59"/>
      <c r="BK12" s="59"/>
      <c r="BL12" s="59"/>
      <c r="BM12" s="59"/>
      <c r="BN12" s="59"/>
      <c r="BO12" s="59"/>
      <c r="BP12" s="59"/>
      <c r="BQ12" s="59"/>
      <c r="BR12" s="59"/>
      <c r="BS12" s="323">
        <v>22.783545</v>
      </c>
      <c r="BT12" s="323">
        <v>7.3396400000000001E-2</v>
      </c>
      <c r="BU12" s="323">
        <v>1.62497</v>
      </c>
      <c r="BV12" s="323">
        <v>23.28565</v>
      </c>
      <c r="BW12" s="323">
        <v>0.24791039999999998</v>
      </c>
      <c r="BX12" s="323">
        <v>16.000664999999998</v>
      </c>
      <c r="BY12" s="323">
        <v>1.2940750000000001</v>
      </c>
      <c r="BZ12" s="323">
        <v>0.68747999999999998</v>
      </c>
      <c r="CA12" s="323">
        <v>6.6252999999999992E-2</v>
      </c>
      <c r="CB12" s="323">
        <v>0.2474712</v>
      </c>
      <c r="CC12" s="323">
        <v>66.311416000000008</v>
      </c>
      <c r="CD12" s="323"/>
    </row>
    <row r="13" spans="1:82" ht="15.75" x14ac:dyDescent="0.25">
      <c r="A13" s="325" t="s">
        <v>664</v>
      </c>
      <c r="B13" s="333" t="s">
        <v>654</v>
      </c>
      <c r="C13" s="52"/>
      <c r="D13" s="58">
        <v>0.19</v>
      </c>
      <c r="E13" s="59">
        <v>2.2999999999999998</v>
      </c>
      <c r="F13" s="59">
        <v>2.41</v>
      </c>
      <c r="G13" s="59">
        <v>2.9000000000000001E-2</v>
      </c>
      <c r="H13" s="59">
        <v>7.4000000000000003E-3</v>
      </c>
      <c r="I13" s="59">
        <v>0.24</v>
      </c>
      <c r="J13" s="59">
        <v>1.3599999999999999E-2</v>
      </c>
      <c r="K13" s="59">
        <v>550</v>
      </c>
      <c r="L13" s="59">
        <v>0.23699999999999999</v>
      </c>
      <c r="M13" s="59">
        <v>0.61299999999999999</v>
      </c>
      <c r="N13" s="59">
        <v>2.4700000000000002</v>
      </c>
      <c r="O13" s="59">
        <v>9.2799999999999994E-2</v>
      </c>
      <c r="P13" s="59">
        <v>7.25</v>
      </c>
      <c r="Q13" s="59">
        <v>0.45700000000000002</v>
      </c>
      <c r="R13" s="59">
        <v>3.82</v>
      </c>
      <c r="S13" s="59">
        <v>0.10299999999999999</v>
      </c>
      <c r="T13" s="59">
        <v>0.14799999999999999</v>
      </c>
      <c r="U13" s="59">
        <v>440</v>
      </c>
      <c r="V13" s="59">
        <v>5.6300000000000003E-2</v>
      </c>
      <c r="W13" s="59">
        <v>0.19900000000000001</v>
      </c>
      <c r="X13" s="59">
        <v>3.61E-2</v>
      </c>
      <c r="Y13" s="59">
        <v>0.246</v>
      </c>
      <c r="Z13" s="59">
        <v>1.57</v>
      </c>
      <c r="AA13" s="59">
        <v>5.4600000000000003E-2</v>
      </c>
      <c r="AB13" s="59">
        <v>0.16</v>
      </c>
      <c r="AC13" s="59"/>
      <c r="AD13" s="59">
        <v>0.161</v>
      </c>
      <c r="AE13" s="59">
        <v>2.46E-2</v>
      </c>
      <c r="AF13" s="59">
        <v>0.14000000000000001</v>
      </c>
      <c r="AG13" s="59">
        <v>500</v>
      </c>
      <c r="AH13" s="59"/>
      <c r="AI13" s="59"/>
      <c r="AJ13" s="59"/>
      <c r="AK13" s="59">
        <v>9.2999999999999999E-2</v>
      </c>
      <c r="AL13" s="59"/>
      <c r="AM13" s="59">
        <v>310</v>
      </c>
      <c r="AN13" s="59">
        <v>120</v>
      </c>
      <c r="AO13" s="59">
        <v>9.1999999999999993</v>
      </c>
      <c r="AP13" s="59">
        <v>5100</v>
      </c>
      <c r="AQ13" s="59">
        <v>0.9</v>
      </c>
      <c r="AR13" s="59">
        <v>1080</v>
      </c>
      <c r="AS13" s="59">
        <v>2.5000000000000001E-2</v>
      </c>
      <c r="AT13" s="59">
        <v>1.65</v>
      </c>
      <c r="AU13" s="59">
        <v>0.14000000000000001</v>
      </c>
      <c r="AV13" s="59">
        <v>1.5</v>
      </c>
      <c r="AW13" s="59"/>
      <c r="AX13" s="59"/>
      <c r="AY13" s="59"/>
      <c r="AZ13" s="59"/>
      <c r="BA13" s="59"/>
      <c r="BB13" s="59"/>
      <c r="BC13" s="59"/>
      <c r="BD13" s="59"/>
      <c r="BE13" s="59"/>
      <c r="BF13" s="59"/>
      <c r="BG13" s="59"/>
      <c r="BH13" s="59"/>
      <c r="BI13" s="59"/>
      <c r="BJ13" s="59"/>
      <c r="BK13" s="59"/>
      <c r="BL13" s="59"/>
      <c r="BM13" s="59"/>
      <c r="BN13" s="59"/>
      <c r="BO13" s="59"/>
      <c r="BP13" s="59"/>
      <c r="BQ13" s="59"/>
      <c r="BR13" s="59"/>
      <c r="BS13" s="323">
        <v>22.890509999999999</v>
      </c>
      <c r="BT13" s="323">
        <v>7.4564069999999996E-2</v>
      </c>
      <c r="BU13" s="323">
        <v>1.5871799999999998</v>
      </c>
      <c r="BV13" s="323">
        <v>24.00609</v>
      </c>
      <c r="BW13" s="323">
        <v>0.24739391999999999</v>
      </c>
      <c r="BX13" s="323">
        <v>15.818273999999997</v>
      </c>
      <c r="BY13" s="323">
        <v>1.274489</v>
      </c>
      <c r="BZ13" s="323">
        <v>0.66887760000000007</v>
      </c>
      <c r="CA13" s="323">
        <v>6.5771159999999995E-2</v>
      </c>
      <c r="CB13" s="323">
        <v>0.22570290000000001</v>
      </c>
      <c r="CC13" s="323">
        <v>66.858852650000003</v>
      </c>
      <c r="CD13" s="323"/>
    </row>
    <row r="14" spans="1:82" ht="15.75" x14ac:dyDescent="0.25">
      <c r="A14" s="325" t="s">
        <v>642</v>
      </c>
      <c r="B14" s="333" t="s">
        <v>655</v>
      </c>
      <c r="C14" s="52"/>
      <c r="D14" s="58">
        <v>0.188</v>
      </c>
      <c r="E14" s="59">
        <v>2.3199999999999998</v>
      </c>
      <c r="F14" s="59">
        <v>2.42</v>
      </c>
      <c r="G14" s="59">
        <v>0.03</v>
      </c>
      <c r="H14" s="59">
        <v>8.0999999999999996E-3</v>
      </c>
      <c r="I14" s="59">
        <v>0.28299999999999997</v>
      </c>
      <c r="J14" s="59">
        <v>1.4999999999999999E-2</v>
      </c>
      <c r="K14" s="59">
        <v>546</v>
      </c>
      <c r="L14" s="59">
        <v>0.2414</v>
      </c>
      <c r="M14" s="59">
        <v>0.61939999999999995</v>
      </c>
      <c r="N14" s="59">
        <v>2.62</v>
      </c>
      <c r="O14" s="59">
        <v>9.3899999999999997E-2</v>
      </c>
      <c r="P14" s="59">
        <v>7.79</v>
      </c>
      <c r="Q14" s="59">
        <v>0.47370000000000001</v>
      </c>
      <c r="R14" s="59">
        <v>3.63</v>
      </c>
      <c r="S14" s="59">
        <v>0.1065</v>
      </c>
      <c r="T14" s="59">
        <v>0.15359999999999999</v>
      </c>
      <c r="U14" s="59">
        <v>447</v>
      </c>
      <c r="V14" s="59">
        <v>5.883E-2</v>
      </c>
      <c r="W14" s="59">
        <v>0.2069</v>
      </c>
      <c r="X14" s="59">
        <v>3.7969999999999997E-2</v>
      </c>
      <c r="Y14" s="59">
        <v>0.25580000000000003</v>
      </c>
      <c r="Z14" s="59">
        <v>1.46</v>
      </c>
      <c r="AA14" s="59">
        <v>5.6439999999999997E-2</v>
      </c>
      <c r="AB14" s="59">
        <v>0.16550000000000001</v>
      </c>
      <c r="AC14" s="59"/>
      <c r="AD14" s="59">
        <v>0.16869999999999999</v>
      </c>
      <c r="AE14" s="59">
        <v>2.503E-2</v>
      </c>
      <c r="AF14" s="59">
        <v>0.14000000000000001</v>
      </c>
      <c r="AG14" s="59">
        <v>513</v>
      </c>
      <c r="AH14" s="59"/>
      <c r="AI14" s="59"/>
      <c r="AJ14" s="59"/>
      <c r="AK14" s="59">
        <v>9.6000000000000002E-2</v>
      </c>
      <c r="AL14" s="59"/>
      <c r="AM14" s="59">
        <v>309</v>
      </c>
      <c r="AN14" s="59">
        <v>133</v>
      </c>
      <c r="AO14" s="59">
        <v>9.6199999999999992</v>
      </c>
      <c r="AP14" s="59">
        <v>4962</v>
      </c>
      <c r="AQ14" s="59">
        <v>0.96099999999999997</v>
      </c>
      <c r="AR14" s="59">
        <v>985</v>
      </c>
      <c r="AS14" s="59">
        <v>2.1899999999999999E-2</v>
      </c>
      <c r="AT14" s="59">
        <v>1.63</v>
      </c>
      <c r="AU14" s="59">
        <v>0.14499999999999999</v>
      </c>
      <c r="AV14" s="59">
        <v>1.45</v>
      </c>
      <c r="AW14" s="59"/>
      <c r="AX14" s="59"/>
      <c r="AY14" s="59"/>
      <c r="AZ14" s="59"/>
      <c r="BA14" s="59"/>
      <c r="BB14" s="59"/>
      <c r="BC14" s="59"/>
      <c r="BD14" s="59"/>
      <c r="BE14" s="59"/>
      <c r="BF14" s="59"/>
      <c r="BG14" s="59"/>
      <c r="BH14" s="59"/>
      <c r="BI14" s="59"/>
      <c r="BJ14" s="59"/>
      <c r="BK14" s="59"/>
      <c r="BL14" s="59"/>
      <c r="BM14" s="59"/>
      <c r="BN14" s="59"/>
      <c r="BO14" s="59"/>
      <c r="BP14" s="59"/>
      <c r="BQ14" s="59"/>
      <c r="BR14" s="59"/>
      <c r="BS14" s="323"/>
      <c r="BT14" s="323"/>
      <c r="BU14" s="323"/>
      <c r="BV14" s="323"/>
      <c r="BW14" s="323"/>
      <c r="BX14" s="323"/>
      <c r="BY14" s="323"/>
      <c r="BZ14" s="323"/>
      <c r="CA14" s="323"/>
      <c r="CB14" s="323"/>
      <c r="CC14" s="323"/>
      <c r="CD14" s="323"/>
    </row>
    <row r="15" spans="1:82" ht="15.75" x14ac:dyDescent="0.25">
      <c r="A15" s="325" t="s">
        <v>643</v>
      </c>
      <c r="B15" s="333" t="s">
        <v>653</v>
      </c>
      <c r="C15" s="52"/>
      <c r="D15" s="58">
        <v>7.9000000000000008E-3</v>
      </c>
      <c r="E15" s="59">
        <v>0.63500000000000001</v>
      </c>
      <c r="F15" s="59">
        <v>6.9889999999999999</v>
      </c>
      <c r="G15" s="59">
        <v>8.5000000000000006E-2</v>
      </c>
      <c r="H15" s="59">
        <v>2.1000000000000001E-2</v>
      </c>
      <c r="I15" s="59">
        <v>0.71299999999999997</v>
      </c>
      <c r="J15" s="59">
        <v>4.1000000000000002E-2</v>
      </c>
      <c r="K15" s="59">
        <v>250</v>
      </c>
      <c r="L15" s="59">
        <v>0.68700000000000006</v>
      </c>
      <c r="M15" s="59">
        <v>1.7749999999999999</v>
      </c>
      <c r="N15" s="59">
        <v>7.0999999999999994E-2</v>
      </c>
      <c r="O15" s="59">
        <v>0.27600000000000002</v>
      </c>
      <c r="P15" s="59">
        <v>21.1</v>
      </c>
      <c r="Q15" s="59">
        <v>1.3540000000000001</v>
      </c>
      <c r="R15" s="59">
        <v>11.2</v>
      </c>
      <c r="S15" s="59">
        <v>0.309</v>
      </c>
      <c r="T15" s="59">
        <v>0.44400000000000001</v>
      </c>
      <c r="U15" s="59">
        <v>1300</v>
      </c>
      <c r="V15" s="59">
        <v>0.16800000000000001</v>
      </c>
      <c r="W15" s="59">
        <v>0.59599999999999997</v>
      </c>
      <c r="X15" s="59">
        <v>0.108</v>
      </c>
      <c r="Y15" s="59">
        <v>0.73699999999999999</v>
      </c>
      <c r="Z15" s="59">
        <v>4.55</v>
      </c>
      <c r="AA15" s="59">
        <v>0.16400000000000001</v>
      </c>
      <c r="AB15" s="59">
        <v>0.48</v>
      </c>
      <c r="AC15" s="59"/>
      <c r="AD15" s="59">
        <v>0.49299999999999999</v>
      </c>
      <c r="AE15" s="59">
        <v>7.3999999999999996E-2</v>
      </c>
      <c r="AF15" s="59">
        <v>5.0000000000000001E-3</v>
      </c>
      <c r="AG15" s="59"/>
      <c r="AH15" s="59"/>
      <c r="AI15" s="59"/>
      <c r="AJ15" s="59"/>
      <c r="AK15" s="59">
        <v>0.02</v>
      </c>
      <c r="AL15" s="59"/>
      <c r="AM15" s="59"/>
      <c r="AN15" s="59"/>
      <c r="AO15" s="59"/>
      <c r="AP15" s="59"/>
      <c r="AQ15" s="59">
        <v>6.3E-2</v>
      </c>
      <c r="AR15" s="59">
        <v>95</v>
      </c>
      <c r="AS15" s="59"/>
      <c r="AT15" s="59">
        <v>0.17</v>
      </c>
      <c r="AU15" s="59">
        <v>5.0000000000000001E-3</v>
      </c>
      <c r="AV15" s="59">
        <v>1.6</v>
      </c>
      <c r="AW15" s="59"/>
      <c r="AX15" s="59"/>
      <c r="AY15" s="59"/>
      <c r="AZ15" s="59"/>
      <c r="BA15" s="59"/>
      <c r="BB15" s="59"/>
      <c r="BC15" s="59"/>
      <c r="BD15" s="59"/>
      <c r="BE15" s="59"/>
      <c r="BF15" s="59"/>
      <c r="BG15" s="59"/>
      <c r="BH15" s="59"/>
      <c r="BI15" s="59"/>
      <c r="BJ15" s="59"/>
      <c r="BK15" s="59"/>
      <c r="BL15" s="59"/>
      <c r="BM15" s="59"/>
      <c r="BN15" s="59"/>
      <c r="BO15" s="59"/>
      <c r="BP15" s="59"/>
      <c r="BQ15" s="59"/>
      <c r="BR15" s="59"/>
      <c r="BS15" s="323">
        <v>44.9253</v>
      </c>
      <c r="BT15" s="323">
        <v>0.20100604999999999</v>
      </c>
      <c r="BU15" s="323">
        <v>4.4403249999999996</v>
      </c>
      <c r="BV15" s="323">
        <v>8.05349</v>
      </c>
      <c r="BW15" s="323">
        <v>0.13493039999999998</v>
      </c>
      <c r="BX15" s="323">
        <v>37.804679999999998</v>
      </c>
      <c r="BY15" s="323">
        <v>3.5394699999999997</v>
      </c>
      <c r="BZ15" s="323">
        <v>0.35991600000000001</v>
      </c>
      <c r="CA15" s="323">
        <v>2.8910399999999999E-2</v>
      </c>
      <c r="CB15" s="323">
        <v>2.0622600000000001E-2</v>
      </c>
      <c r="CC15" s="323">
        <v>99.508650449999976</v>
      </c>
      <c r="CD15" s="323"/>
    </row>
    <row r="16" spans="1:82" ht="15.75" x14ac:dyDescent="0.25">
      <c r="A16" s="325" t="s">
        <v>644</v>
      </c>
      <c r="B16" s="333" t="s">
        <v>654</v>
      </c>
      <c r="C16" s="52"/>
      <c r="D16" s="58">
        <v>2.1000000000000001E-2</v>
      </c>
      <c r="E16" s="59">
        <v>0.6</v>
      </c>
      <c r="F16" s="59">
        <v>6.6</v>
      </c>
      <c r="G16" s="59">
        <v>7.9500000000000001E-2</v>
      </c>
      <c r="H16" s="59">
        <v>2.0299999999999999E-2</v>
      </c>
      <c r="I16" s="59">
        <v>0.68500000000000005</v>
      </c>
      <c r="J16" s="59">
        <v>3.6999999999999998E-2</v>
      </c>
      <c r="K16" s="59">
        <v>240</v>
      </c>
      <c r="L16" s="59">
        <v>0.64800000000000002</v>
      </c>
      <c r="M16" s="59">
        <v>1.675</v>
      </c>
      <c r="N16" s="59">
        <v>0.15</v>
      </c>
      <c r="O16" s="59">
        <v>0.254</v>
      </c>
      <c r="P16" s="59">
        <v>19.899999999999999</v>
      </c>
      <c r="Q16" s="59">
        <v>1.25</v>
      </c>
      <c r="R16" s="59">
        <v>10.5</v>
      </c>
      <c r="S16" s="59">
        <v>0.28299999999999997</v>
      </c>
      <c r="T16" s="59">
        <v>0.40600000000000003</v>
      </c>
      <c r="U16" s="59">
        <v>1205</v>
      </c>
      <c r="V16" s="59">
        <v>0.154</v>
      </c>
      <c r="W16" s="59">
        <v>0.54400000000000004</v>
      </c>
      <c r="X16" s="59">
        <v>9.9000000000000005E-2</v>
      </c>
      <c r="Y16" s="59">
        <v>0.67400000000000004</v>
      </c>
      <c r="Z16" s="59">
        <v>4.3</v>
      </c>
      <c r="AA16" s="59">
        <v>0.14899999999999999</v>
      </c>
      <c r="AB16" s="59">
        <v>0.438</v>
      </c>
      <c r="AC16" s="59"/>
      <c r="AD16" s="59">
        <v>0.441</v>
      </c>
      <c r="AE16" s="59">
        <v>6.7500000000000004E-2</v>
      </c>
      <c r="AF16" s="59">
        <v>3.5000000000000001E-3</v>
      </c>
      <c r="AG16" s="59">
        <v>105</v>
      </c>
      <c r="AH16" s="59"/>
      <c r="AI16" s="59"/>
      <c r="AJ16" s="59"/>
      <c r="AK16" s="59">
        <v>2.9000000000000001E-2</v>
      </c>
      <c r="AL16" s="59"/>
      <c r="AM16" s="59">
        <v>55</v>
      </c>
      <c r="AN16" s="59">
        <v>30</v>
      </c>
      <c r="AO16" s="59">
        <v>4</v>
      </c>
      <c r="AP16" s="59">
        <v>2670</v>
      </c>
      <c r="AQ16" s="59">
        <v>0.05</v>
      </c>
      <c r="AR16" s="59">
        <v>90</v>
      </c>
      <c r="AS16" s="59">
        <v>6.8000000000000005E-2</v>
      </c>
      <c r="AT16" s="59">
        <v>0.13</v>
      </c>
      <c r="AU16" s="59">
        <v>5.4999999999999997E-3</v>
      </c>
      <c r="AV16" s="59">
        <v>1.6</v>
      </c>
      <c r="AW16" s="59"/>
      <c r="AX16" s="59"/>
      <c r="AY16" s="59"/>
      <c r="AZ16" s="59"/>
      <c r="BA16" s="59"/>
      <c r="BB16" s="59"/>
      <c r="BC16" s="59"/>
      <c r="BD16" s="59"/>
      <c r="BE16" s="59"/>
      <c r="BF16" s="59"/>
      <c r="BG16" s="59"/>
      <c r="BH16" s="59"/>
      <c r="BI16" s="59"/>
      <c r="BJ16" s="59"/>
      <c r="BK16" s="59"/>
      <c r="BL16" s="59"/>
      <c r="BM16" s="59"/>
      <c r="BN16" s="59"/>
      <c r="BO16" s="59"/>
      <c r="BP16" s="59"/>
      <c r="BQ16" s="59"/>
      <c r="BR16" s="59"/>
      <c r="BS16" s="323">
        <v>45.395945999999995</v>
      </c>
      <c r="BT16" s="323">
        <v>0.21101464999999997</v>
      </c>
      <c r="BU16" s="323">
        <v>4.4970099999999995</v>
      </c>
      <c r="BV16" s="323">
        <v>8.1049499999999988</v>
      </c>
      <c r="BW16" s="323">
        <v>0.135576</v>
      </c>
      <c r="BX16" s="323">
        <v>36.760077000000003</v>
      </c>
      <c r="BY16" s="323">
        <v>3.6513899999999997</v>
      </c>
      <c r="BZ16" s="323">
        <v>0.349132</v>
      </c>
      <c r="CA16" s="323">
        <v>3.1319599999999996E-2</v>
      </c>
      <c r="CB16" s="323">
        <v>1.993518E-2</v>
      </c>
      <c r="CC16" s="323">
        <v>99.156350430000003</v>
      </c>
      <c r="CD16" s="323"/>
    </row>
    <row r="17" spans="1:82" ht="15.75" x14ac:dyDescent="0.25">
      <c r="A17" s="325" t="s">
        <v>645</v>
      </c>
      <c r="B17" s="333" t="s">
        <v>655</v>
      </c>
      <c r="C17" s="52"/>
      <c r="D17" s="58">
        <v>1.7999999999999999E-2</v>
      </c>
      <c r="E17" s="59">
        <v>0.60499999999999998</v>
      </c>
      <c r="F17" s="59">
        <v>6.85</v>
      </c>
      <c r="G17" s="59">
        <v>8.4900000000000003E-2</v>
      </c>
      <c r="H17" s="59">
        <v>2.29E-2</v>
      </c>
      <c r="I17" s="59">
        <v>0.59499999999999997</v>
      </c>
      <c r="J17" s="59">
        <v>4.2999999999999997E-2</v>
      </c>
      <c r="K17" s="59">
        <v>260</v>
      </c>
      <c r="L17" s="59">
        <v>0.68320000000000003</v>
      </c>
      <c r="M17" s="59">
        <v>1.7528999999999999</v>
      </c>
      <c r="N17" s="59">
        <v>0.185</v>
      </c>
      <c r="O17" s="59">
        <v>0.26569999999999999</v>
      </c>
      <c r="P17" s="59">
        <v>22</v>
      </c>
      <c r="Q17" s="59">
        <v>1.341</v>
      </c>
      <c r="R17" s="59">
        <v>10.3</v>
      </c>
      <c r="S17" s="59">
        <v>0.3014</v>
      </c>
      <c r="T17" s="59">
        <v>0.43469999999999998</v>
      </c>
      <c r="U17" s="59">
        <v>1265</v>
      </c>
      <c r="V17" s="59">
        <v>0.16650000000000001</v>
      </c>
      <c r="W17" s="59">
        <v>0.58550000000000002</v>
      </c>
      <c r="X17" s="59">
        <v>0.1075</v>
      </c>
      <c r="Y17" s="59">
        <v>0.72389999999999999</v>
      </c>
      <c r="Z17" s="59">
        <v>4.13</v>
      </c>
      <c r="AA17" s="59">
        <v>0.15970000000000001</v>
      </c>
      <c r="AB17" s="59">
        <v>0.46839999999999998</v>
      </c>
      <c r="AC17" s="59"/>
      <c r="AD17" s="59">
        <v>0.47739999999999999</v>
      </c>
      <c r="AE17" s="59">
        <v>7.0830000000000004E-2</v>
      </c>
      <c r="AF17" s="59">
        <v>4.1000000000000003E-3</v>
      </c>
      <c r="AG17" s="59">
        <v>102</v>
      </c>
      <c r="AH17" s="59"/>
      <c r="AI17" s="59"/>
      <c r="AJ17" s="59"/>
      <c r="AK17" s="59">
        <v>1.2E-2</v>
      </c>
      <c r="AL17" s="59"/>
      <c r="AM17" s="59">
        <v>53.5</v>
      </c>
      <c r="AN17" s="59">
        <v>20</v>
      </c>
      <c r="AO17" s="59">
        <v>4.4000000000000004</v>
      </c>
      <c r="AP17" s="59">
        <v>2590</v>
      </c>
      <c r="AQ17" s="59">
        <v>4.7E-2</v>
      </c>
      <c r="AR17" s="59">
        <v>87</v>
      </c>
      <c r="AS17" s="59">
        <v>6.2E-2</v>
      </c>
      <c r="AT17" s="59">
        <v>0.14000000000000001</v>
      </c>
      <c r="AU17" s="59">
        <v>5.4000000000000003E-3</v>
      </c>
      <c r="AV17" s="59">
        <v>1.6</v>
      </c>
      <c r="AW17" s="59"/>
      <c r="AX17" s="59"/>
      <c r="AY17" s="59"/>
      <c r="AZ17" s="59"/>
      <c r="BA17" s="59"/>
      <c r="BB17" s="59"/>
      <c r="BC17" s="59"/>
      <c r="BD17" s="59"/>
      <c r="BE17" s="59"/>
      <c r="BF17" s="59"/>
      <c r="BG17" s="59"/>
      <c r="BH17" s="59"/>
      <c r="BI17" s="59"/>
      <c r="BJ17" s="59"/>
      <c r="BK17" s="59"/>
      <c r="BL17" s="59"/>
      <c r="BM17" s="59"/>
      <c r="BN17" s="59"/>
      <c r="BO17" s="59"/>
      <c r="BP17" s="59"/>
      <c r="BQ17" s="59"/>
      <c r="BR17" s="59"/>
      <c r="BS17" s="323"/>
      <c r="BT17" s="323"/>
      <c r="BU17" s="323"/>
      <c r="BV17" s="323"/>
      <c r="BW17" s="323"/>
      <c r="BX17" s="323"/>
      <c r="BY17" s="323"/>
      <c r="BZ17" s="323"/>
      <c r="CA17" s="323"/>
      <c r="CB17" s="323"/>
      <c r="CC17" s="323"/>
      <c r="CD17" s="323"/>
    </row>
    <row r="18" spans="1:82" ht="15.75" x14ac:dyDescent="0.25">
      <c r="A18" s="325" t="s">
        <v>659</v>
      </c>
      <c r="B18" s="333" t="s">
        <v>656</v>
      </c>
      <c r="C18" s="52"/>
      <c r="D18" s="58"/>
      <c r="E18" s="59">
        <v>0.02</v>
      </c>
      <c r="F18" s="59">
        <v>0.22700000000000001</v>
      </c>
      <c r="G18" s="59">
        <v>4.0000000000000001E-3</v>
      </c>
      <c r="H18" s="59">
        <v>1.8E-3</v>
      </c>
      <c r="I18" s="59">
        <v>8.6400000000000005E-2</v>
      </c>
      <c r="J18" s="59">
        <v>5.5999999999999999E-3</v>
      </c>
      <c r="K18" s="59"/>
      <c r="L18" s="59">
        <v>0.13400000000000001</v>
      </c>
      <c r="M18" s="59">
        <v>0.42099999999999999</v>
      </c>
      <c r="N18" s="59">
        <v>1.4E-2</v>
      </c>
      <c r="O18" s="59">
        <v>8.6999999999999994E-2</v>
      </c>
      <c r="P18" s="59">
        <v>6.0919999999999996</v>
      </c>
      <c r="Q18" s="59">
        <v>0.48299999999999998</v>
      </c>
      <c r="R18" s="59">
        <v>4.2690000000000001</v>
      </c>
      <c r="S18" s="59">
        <v>0.127</v>
      </c>
      <c r="T18" s="59">
        <v>0.21</v>
      </c>
      <c r="U18" s="59">
        <v>650</v>
      </c>
      <c r="V18" s="59">
        <v>8.5999999999999993E-2</v>
      </c>
      <c r="W18" s="59">
        <v>0.32400000000000001</v>
      </c>
      <c r="X18" s="59">
        <v>6.4000000000000001E-2</v>
      </c>
      <c r="Y18" s="59">
        <v>0.47099999999999997</v>
      </c>
      <c r="Z18" s="59">
        <v>3.129</v>
      </c>
      <c r="AA18" s="59">
        <v>0.108</v>
      </c>
      <c r="AB18" s="59">
        <v>0.32900000000000001</v>
      </c>
      <c r="AC18" s="59"/>
      <c r="AD18" s="59">
        <v>0.34799999999999998</v>
      </c>
      <c r="AE18" s="59">
        <v>5.6000000000000001E-2</v>
      </c>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c r="BS18" s="323"/>
      <c r="BT18" s="323"/>
      <c r="BU18" s="323"/>
      <c r="BV18" s="323"/>
      <c r="BW18" s="323"/>
      <c r="BX18" s="323"/>
      <c r="BY18" s="323"/>
      <c r="BZ18" s="323"/>
      <c r="CA18" s="323"/>
      <c r="CB18" s="323"/>
      <c r="CC18" s="323"/>
      <c r="CD18" s="323"/>
    </row>
    <row r="19" spans="1:82" ht="15.75" x14ac:dyDescent="0.25">
      <c r="A19" s="325" t="s">
        <v>660</v>
      </c>
      <c r="B19" s="333" t="s">
        <v>656</v>
      </c>
      <c r="C19" s="52"/>
      <c r="D19" s="58"/>
      <c r="E19" s="59">
        <v>0.108</v>
      </c>
      <c r="F19" s="59">
        <v>1.2190000000000001</v>
      </c>
      <c r="G19" s="59">
        <v>1.5699999999999999E-2</v>
      </c>
      <c r="H19" s="59">
        <v>5.1999999999999998E-3</v>
      </c>
      <c r="I19" s="59">
        <v>0.2462</v>
      </c>
      <c r="J19" s="59">
        <v>1.5900000000000001E-2</v>
      </c>
      <c r="K19" s="59"/>
      <c r="L19" s="59">
        <v>0.253</v>
      </c>
      <c r="M19" s="59">
        <v>0.72599999999999998</v>
      </c>
      <c r="N19" s="59">
        <v>2.4E-2</v>
      </c>
      <c r="O19" s="59">
        <v>0.13200000000000001</v>
      </c>
      <c r="P19" s="59">
        <v>9.718</v>
      </c>
      <c r="Q19" s="59">
        <v>0.70299999999999996</v>
      </c>
      <c r="R19" s="59">
        <v>6.0869999999999997</v>
      </c>
      <c r="S19" s="59">
        <v>0.186</v>
      </c>
      <c r="T19" s="59">
        <v>0.27300000000000002</v>
      </c>
      <c r="U19" s="59">
        <v>792</v>
      </c>
      <c r="V19" s="59">
        <v>0.108</v>
      </c>
      <c r="W19" s="59">
        <v>0.39700000000000002</v>
      </c>
      <c r="X19" s="59">
        <v>7.5999999999999998E-2</v>
      </c>
      <c r="Y19" s="59">
        <v>0.54300000000000004</v>
      </c>
      <c r="Z19" s="59">
        <v>3.548</v>
      </c>
      <c r="AA19" s="59">
        <v>0.123</v>
      </c>
      <c r="AB19" s="59">
        <v>0.36899999999999999</v>
      </c>
      <c r="AC19" s="59"/>
      <c r="AD19" s="59">
        <v>0.38200000000000001</v>
      </c>
      <c r="AE19" s="59">
        <v>0.06</v>
      </c>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c r="BS19" s="323">
        <v>44.71</v>
      </c>
      <c r="BT19" s="323">
        <v>0.13</v>
      </c>
      <c r="BU19" s="323">
        <v>3.98</v>
      </c>
      <c r="BV19" s="323">
        <v>8.18</v>
      </c>
      <c r="BW19" s="323">
        <v>0.13</v>
      </c>
      <c r="BX19" s="323">
        <v>38.729999999999997</v>
      </c>
      <c r="BY19" s="323">
        <v>3.17</v>
      </c>
      <c r="BZ19" s="323">
        <v>0.13</v>
      </c>
      <c r="CA19" s="323">
        <v>6.0000000000000001E-3</v>
      </c>
      <c r="CB19" s="323">
        <v>1.9E-2</v>
      </c>
      <c r="CC19" s="323">
        <v>99.185000000000002</v>
      </c>
      <c r="CD19" s="323"/>
    </row>
    <row r="20" spans="1:82" ht="15.75" x14ac:dyDescent="0.25">
      <c r="A20" s="325" t="s">
        <v>661</v>
      </c>
      <c r="B20" s="333" t="s">
        <v>656</v>
      </c>
      <c r="C20" s="52"/>
      <c r="D20" s="58"/>
      <c r="E20" s="59">
        <v>0.05</v>
      </c>
      <c r="F20" s="59">
        <v>0.56299999999999994</v>
      </c>
      <c r="G20" s="59">
        <v>7.9000000000000008E-3</v>
      </c>
      <c r="H20" s="59">
        <v>3.2000000000000002E-3</v>
      </c>
      <c r="I20" s="59">
        <v>0.14849999999999999</v>
      </c>
      <c r="J20" s="59">
        <v>9.5999999999999992E-3</v>
      </c>
      <c r="K20" s="59"/>
      <c r="L20" s="59">
        <v>0.192</v>
      </c>
      <c r="M20" s="59">
        <v>0.55000000000000004</v>
      </c>
      <c r="N20" s="59">
        <v>1.7999999999999999E-2</v>
      </c>
      <c r="O20" s="59">
        <v>0.107</v>
      </c>
      <c r="P20" s="59">
        <v>7.6639999999999997</v>
      </c>
      <c r="Q20" s="59">
        <v>0.58099999999999996</v>
      </c>
      <c r="R20" s="59">
        <v>5.0819999999999999</v>
      </c>
      <c r="S20" s="59">
        <v>0.157</v>
      </c>
      <c r="T20" s="59">
        <v>0.23899999999999999</v>
      </c>
      <c r="U20" s="59">
        <v>772.53800000000012</v>
      </c>
      <c r="V20" s="59">
        <v>9.6000000000000002E-2</v>
      </c>
      <c r="W20" s="59">
        <v>0.35799999999999998</v>
      </c>
      <c r="X20" s="59">
        <v>7.0000000000000007E-2</v>
      </c>
      <c r="Y20" s="59">
        <v>0.505</v>
      </c>
      <c r="Z20" s="59">
        <v>3.3279999999999998</v>
      </c>
      <c r="AA20" s="59">
        <v>0.115</v>
      </c>
      <c r="AB20" s="59">
        <v>0.34799999999999998</v>
      </c>
      <c r="AC20" s="59"/>
      <c r="AD20" s="59">
        <v>0.36499999999999999</v>
      </c>
      <c r="AE20" s="59">
        <v>5.8000000000000003E-2</v>
      </c>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c r="BS20" s="323">
        <v>50.39</v>
      </c>
      <c r="BT20" s="323">
        <v>1.51</v>
      </c>
      <c r="BU20" s="323">
        <v>14.93</v>
      </c>
      <c r="BV20" s="323">
        <v>10.15</v>
      </c>
      <c r="BW20" s="323">
        <v>0.17799999999999999</v>
      </c>
      <c r="BX20" s="323">
        <v>7.82</v>
      </c>
      <c r="BY20" s="323">
        <v>11.49</v>
      </c>
      <c r="BZ20" s="323">
        <v>2.71</v>
      </c>
      <c r="CA20" s="323">
        <v>9.6000000000000002E-2</v>
      </c>
      <c r="CB20" s="323">
        <v>0.153</v>
      </c>
      <c r="CC20" s="323">
        <v>99.427000000000007</v>
      </c>
      <c r="CD20" s="323"/>
    </row>
    <row r="21" spans="1:82" ht="15.75" x14ac:dyDescent="0.25">
      <c r="A21" s="325" t="s">
        <v>646</v>
      </c>
      <c r="B21" s="333" t="s">
        <v>657</v>
      </c>
      <c r="C21" s="52"/>
      <c r="D21" s="58">
        <v>1.4999999999999999E-2</v>
      </c>
      <c r="E21" s="59">
        <v>1.05</v>
      </c>
      <c r="F21" s="59">
        <v>11.4</v>
      </c>
      <c r="G21" s="59">
        <v>0.156</v>
      </c>
      <c r="H21" s="59">
        <v>5.5E-2</v>
      </c>
      <c r="I21" s="59">
        <v>2.4</v>
      </c>
      <c r="J21" s="59">
        <v>0.17</v>
      </c>
      <c r="K21" s="59"/>
      <c r="L21" s="59">
        <v>3.12</v>
      </c>
      <c r="M21" s="59">
        <v>10.01</v>
      </c>
      <c r="N21" s="59">
        <v>0.43</v>
      </c>
      <c r="O21" s="59">
        <v>1.71</v>
      </c>
      <c r="P21" s="59">
        <v>111</v>
      </c>
      <c r="Q21" s="59">
        <v>9.4600000000000009</v>
      </c>
      <c r="R21" s="59">
        <v>92.6</v>
      </c>
      <c r="S21" s="59">
        <v>2.31</v>
      </c>
      <c r="T21" s="59">
        <v>3.32</v>
      </c>
      <c r="U21" s="59">
        <v>8973.3260000000009</v>
      </c>
      <c r="V21" s="59">
        <v>1.21</v>
      </c>
      <c r="W21" s="59">
        <v>4.43</v>
      </c>
      <c r="X21" s="59">
        <v>0.82</v>
      </c>
      <c r="Y21" s="59">
        <v>5.48</v>
      </c>
      <c r="Z21" s="59">
        <v>33.200000000000003</v>
      </c>
      <c r="AA21" s="59">
        <v>1.19</v>
      </c>
      <c r="AB21" s="59">
        <v>3.46</v>
      </c>
      <c r="AC21" s="59"/>
      <c r="AD21" s="59">
        <v>3.31</v>
      </c>
      <c r="AE21" s="59">
        <v>0.5</v>
      </c>
      <c r="AF21" s="59">
        <v>1.4999999999999999E-2</v>
      </c>
      <c r="AG21" s="59">
        <v>43.6</v>
      </c>
      <c r="AH21" s="59">
        <v>269</v>
      </c>
      <c r="AI21" s="59">
        <v>100</v>
      </c>
      <c r="AJ21" s="59">
        <v>298</v>
      </c>
      <c r="AK21" s="59">
        <v>7.0000000000000007E-2</v>
      </c>
      <c r="AL21" s="59">
        <v>39.5</v>
      </c>
      <c r="AM21" s="59">
        <v>88.1</v>
      </c>
      <c r="AN21" s="59">
        <v>75</v>
      </c>
      <c r="AO21" s="59">
        <v>16.899999999999999</v>
      </c>
      <c r="AP21" s="59"/>
      <c r="AQ21" s="59"/>
      <c r="AR21" s="59"/>
      <c r="AS21" s="59">
        <v>0.6</v>
      </c>
      <c r="AT21" s="59">
        <v>0.73</v>
      </c>
      <c r="AU21" s="59"/>
      <c r="AV21" s="59">
        <v>6.1</v>
      </c>
      <c r="AW21" s="59"/>
      <c r="AX21" s="59"/>
      <c r="AY21" s="59"/>
      <c r="AZ21" s="59"/>
      <c r="BA21" s="59"/>
      <c r="BB21" s="59"/>
      <c r="BC21" s="59"/>
      <c r="BD21" s="59"/>
      <c r="BE21" s="59"/>
      <c r="BF21" s="59"/>
      <c r="BG21" s="59"/>
      <c r="BH21" s="59"/>
      <c r="BI21" s="59"/>
      <c r="BJ21" s="59"/>
      <c r="BK21" s="59"/>
      <c r="BL21" s="59"/>
      <c r="BM21" s="59"/>
      <c r="BN21" s="59"/>
      <c r="BO21" s="59"/>
      <c r="BP21" s="59"/>
      <c r="BQ21" s="59"/>
      <c r="BR21" s="59"/>
      <c r="BS21" s="323"/>
      <c r="BT21" s="323"/>
      <c r="BU21" s="323"/>
      <c r="BV21" s="323"/>
      <c r="BW21" s="323"/>
      <c r="BX21" s="323"/>
      <c r="BY21" s="323"/>
      <c r="BZ21" s="323"/>
      <c r="CA21" s="323"/>
      <c r="CB21" s="323"/>
      <c r="CC21" s="323"/>
      <c r="CD21" s="323"/>
    </row>
    <row r="22" spans="1:82" ht="15.75" x14ac:dyDescent="0.25">
      <c r="A22" s="325" t="s">
        <v>666</v>
      </c>
      <c r="B22" s="333" t="s">
        <v>657</v>
      </c>
      <c r="C22" s="52"/>
      <c r="D22" s="58">
        <v>2.4E-2</v>
      </c>
      <c r="E22" s="59">
        <v>1.84</v>
      </c>
      <c r="F22" s="59">
        <v>19.600000000000001</v>
      </c>
      <c r="G22" s="59">
        <v>0.252</v>
      </c>
      <c r="H22" s="59">
        <v>8.3000000000000004E-2</v>
      </c>
      <c r="I22" s="59">
        <v>3.62</v>
      </c>
      <c r="J22" s="59">
        <v>0.24</v>
      </c>
      <c r="K22" s="59"/>
      <c r="L22" s="59">
        <v>4.1900000000000004</v>
      </c>
      <c r="M22" s="59">
        <v>12.42</v>
      </c>
      <c r="N22" s="59">
        <v>0.51</v>
      </c>
      <c r="O22" s="59">
        <v>1.98</v>
      </c>
      <c r="P22" s="59">
        <v>128</v>
      </c>
      <c r="Q22" s="59">
        <v>10.66</v>
      </c>
      <c r="R22" s="59">
        <v>101.9</v>
      </c>
      <c r="S22" s="59">
        <v>2.46</v>
      </c>
      <c r="T22" s="59">
        <v>3.48</v>
      </c>
      <c r="U22" s="59">
        <v>9092.1779999999999</v>
      </c>
      <c r="V22" s="59">
        <v>1.26</v>
      </c>
      <c r="W22" s="59">
        <v>4.55</v>
      </c>
      <c r="X22" s="59">
        <v>0.82</v>
      </c>
      <c r="Y22" s="59">
        <v>5.5</v>
      </c>
      <c r="Z22" s="59">
        <v>33.200000000000003</v>
      </c>
      <c r="AA22" s="59">
        <v>1.18</v>
      </c>
      <c r="AB22" s="59">
        <v>3.42</v>
      </c>
      <c r="AC22" s="59"/>
      <c r="AD22" s="59">
        <v>3.28</v>
      </c>
      <c r="AE22" s="59">
        <v>0.48</v>
      </c>
      <c r="AF22" s="59">
        <v>1.7000000000000001E-2</v>
      </c>
      <c r="AG22" s="59">
        <v>42.3</v>
      </c>
      <c r="AH22" s="59">
        <v>263</v>
      </c>
      <c r="AI22" s="59">
        <v>100</v>
      </c>
      <c r="AJ22" s="59">
        <v>280</v>
      </c>
      <c r="AK22" s="59">
        <v>0.08</v>
      </c>
      <c r="AL22" s="59">
        <v>38.4</v>
      </c>
      <c r="AM22" s="59">
        <v>85.3</v>
      </c>
      <c r="AN22" s="59">
        <v>73</v>
      </c>
      <c r="AO22" s="59">
        <v>17</v>
      </c>
      <c r="AP22" s="59"/>
      <c r="AQ22" s="59"/>
      <c r="AR22" s="59"/>
      <c r="AS22" s="59">
        <v>0.64</v>
      </c>
      <c r="AT22" s="59">
        <v>0.8</v>
      </c>
      <c r="AU22" s="59"/>
      <c r="AV22" s="59">
        <v>6.1</v>
      </c>
      <c r="AW22" s="59"/>
      <c r="AX22" s="59"/>
      <c r="AY22" s="59"/>
      <c r="AZ22" s="59"/>
      <c r="BA22" s="59"/>
      <c r="BB22" s="59"/>
      <c r="BC22" s="59"/>
      <c r="BD22" s="59"/>
      <c r="BE22" s="59"/>
      <c r="BF22" s="59"/>
      <c r="BG22" s="59"/>
      <c r="BH22" s="59"/>
      <c r="BI22" s="59"/>
      <c r="BJ22" s="59"/>
      <c r="BK22" s="59"/>
      <c r="BL22" s="59"/>
      <c r="BM22" s="59"/>
      <c r="BN22" s="59"/>
      <c r="BO22" s="59"/>
      <c r="BP22" s="59"/>
      <c r="BQ22" s="59"/>
      <c r="BR22" s="59"/>
      <c r="BS22" s="323">
        <v>50.45</v>
      </c>
      <c r="BT22" s="323">
        <v>1.62</v>
      </c>
      <c r="BU22" s="323">
        <v>15.26</v>
      </c>
      <c r="BV22" s="323">
        <v>10.43</v>
      </c>
      <c r="BW22" s="323"/>
      <c r="BX22" s="323">
        <v>7.58</v>
      </c>
      <c r="BY22" s="323">
        <v>11.3</v>
      </c>
      <c r="BZ22" s="323">
        <v>2.68</v>
      </c>
      <c r="CA22" s="323">
        <v>0.11</v>
      </c>
      <c r="CB22" s="323"/>
      <c r="CC22" s="323">
        <v>99.429999999999993</v>
      </c>
      <c r="CD22" s="323"/>
    </row>
    <row r="23" spans="1:82" ht="15.75" x14ac:dyDescent="0.25">
      <c r="A23" s="325" t="s">
        <v>667</v>
      </c>
      <c r="B23" s="333" t="s">
        <v>658</v>
      </c>
      <c r="C23" s="52"/>
      <c r="D23" s="58">
        <v>1.4E-2</v>
      </c>
      <c r="E23" s="59">
        <v>1.26</v>
      </c>
      <c r="F23" s="59">
        <v>13.9</v>
      </c>
      <c r="G23" s="59">
        <v>0.187</v>
      </c>
      <c r="H23" s="59">
        <v>7.0999999999999994E-2</v>
      </c>
      <c r="I23" s="59">
        <v>3.51</v>
      </c>
      <c r="J23" s="59">
        <v>0.19</v>
      </c>
      <c r="K23" s="59"/>
      <c r="L23" s="59">
        <v>3.9</v>
      </c>
      <c r="M23" s="59">
        <v>12</v>
      </c>
      <c r="N23" s="59">
        <v>0.49</v>
      </c>
      <c r="O23" s="59"/>
      <c r="P23" s="59">
        <v>113</v>
      </c>
      <c r="Q23" s="59">
        <v>11.18</v>
      </c>
      <c r="R23" s="59">
        <v>104</v>
      </c>
      <c r="S23" s="59">
        <v>2.97</v>
      </c>
      <c r="T23" s="59">
        <v>3.75</v>
      </c>
      <c r="U23" s="59">
        <v>9627.0120000000006</v>
      </c>
      <c r="V23" s="59">
        <v>1.335</v>
      </c>
      <c r="W23" s="59">
        <v>5.08</v>
      </c>
      <c r="X23" s="59"/>
      <c r="Y23" s="59">
        <v>6.3</v>
      </c>
      <c r="Z23" s="59">
        <v>35.799999999999997</v>
      </c>
      <c r="AA23" s="59"/>
      <c r="AB23" s="59">
        <v>4.1399999999999997</v>
      </c>
      <c r="AC23" s="59"/>
      <c r="AD23" s="59">
        <v>3.9</v>
      </c>
      <c r="AE23" s="59">
        <v>0.59</v>
      </c>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c r="BS23" s="323"/>
      <c r="BT23" s="323"/>
      <c r="BU23" s="323"/>
      <c r="BV23" s="323"/>
      <c r="BW23" s="323"/>
      <c r="BX23" s="323"/>
      <c r="BY23" s="323"/>
      <c r="BZ23" s="323"/>
      <c r="CA23" s="323"/>
      <c r="CB23" s="323"/>
      <c r="CC23" s="323"/>
      <c r="CD23" s="323"/>
    </row>
    <row r="24" spans="1:82" ht="15.75" x14ac:dyDescent="0.25">
      <c r="A24" s="325" t="s">
        <v>665</v>
      </c>
      <c r="B24" s="333" t="s">
        <v>653</v>
      </c>
      <c r="C24" s="52"/>
      <c r="D24" s="58">
        <v>7.0000000000000001E-3</v>
      </c>
      <c r="E24" s="59">
        <v>0.56000000000000005</v>
      </c>
      <c r="F24" s="59">
        <v>6.3</v>
      </c>
      <c r="G24" s="59">
        <v>0.12</v>
      </c>
      <c r="H24" s="59">
        <v>4.7E-2</v>
      </c>
      <c r="I24" s="59">
        <v>2.33</v>
      </c>
      <c r="J24" s="59">
        <v>0.13200000000000001</v>
      </c>
      <c r="K24" s="59">
        <v>600</v>
      </c>
      <c r="L24" s="59">
        <v>2.5</v>
      </c>
      <c r="M24" s="59">
        <v>7.5</v>
      </c>
      <c r="N24" s="59">
        <v>0.3</v>
      </c>
      <c r="O24" s="59">
        <v>1.32</v>
      </c>
      <c r="P24" s="59">
        <v>90</v>
      </c>
      <c r="Q24" s="59">
        <v>7.3</v>
      </c>
      <c r="R24" s="59">
        <v>74</v>
      </c>
      <c r="S24" s="59">
        <v>2.0499999999999998</v>
      </c>
      <c r="T24" s="59">
        <v>2.63</v>
      </c>
      <c r="U24" s="59">
        <v>7600</v>
      </c>
      <c r="V24" s="59">
        <v>1.02</v>
      </c>
      <c r="W24" s="59">
        <v>3.68</v>
      </c>
      <c r="X24" s="59">
        <v>0.67</v>
      </c>
      <c r="Y24" s="59">
        <v>4.55</v>
      </c>
      <c r="Z24" s="59">
        <v>28</v>
      </c>
      <c r="AA24" s="59">
        <v>1.01</v>
      </c>
      <c r="AB24" s="59">
        <v>2.97</v>
      </c>
      <c r="AC24" s="59"/>
      <c r="AD24" s="59">
        <v>3.05</v>
      </c>
      <c r="AE24" s="59">
        <v>0.45500000000000002</v>
      </c>
      <c r="AF24" s="59">
        <v>1.4E-3</v>
      </c>
      <c r="AG24" s="59"/>
      <c r="AH24" s="59"/>
      <c r="AI24" s="59"/>
      <c r="AJ24" s="59"/>
      <c r="AK24" s="59">
        <v>0.01</v>
      </c>
      <c r="AL24" s="59"/>
      <c r="AM24" s="59"/>
      <c r="AN24" s="59"/>
      <c r="AO24" s="59"/>
      <c r="AP24" s="59"/>
      <c r="AQ24" s="59">
        <v>0.31</v>
      </c>
      <c r="AR24" s="59">
        <v>510</v>
      </c>
      <c r="AS24" s="59"/>
      <c r="AT24" s="59">
        <v>1.1000000000000001</v>
      </c>
      <c r="AU24" s="59">
        <v>0.01</v>
      </c>
      <c r="AV24" s="59">
        <v>4.3</v>
      </c>
      <c r="AW24" s="59"/>
      <c r="AX24" s="59"/>
      <c r="AY24" s="59"/>
      <c r="AZ24" s="59"/>
      <c r="BA24" s="59"/>
      <c r="BB24" s="59"/>
      <c r="BC24" s="59"/>
      <c r="BD24" s="59"/>
      <c r="BE24" s="59"/>
      <c r="BF24" s="59"/>
      <c r="BG24" s="59"/>
      <c r="BH24" s="59"/>
      <c r="BI24" s="59"/>
      <c r="BJ24" s="59"/>
      <c r="BK24" s="59"/>
      <c r="BL24" s="59"/>
      <c r="BM24" s="59"/>
      <c r="BN24" s="59"/>
      <c r="BO24" s="59"/>
      <c r="BP24" s="59"/>
      <c r="BQ24" s="59"/>
      <c r="BR24" s="59"/>
      <c r="BS24" s="323">
        <v>50.42</v>
      </c>
      <c r="BT24" s="323">
        <v>1.53</v>
      </c>
      <c r="BU24" s="323">
        <v>15.13</v>
      </c>
      <c r="BV24" s="323">
        <v>9.81</v>
      </c>
      <c r="BW24" s="323">
        <v>0.17100000000000001</v>
      </c>
      <c r="BX24" s="323">
        <v>7.76</v>
      </c>
      <c r="BY24" s="323">
        <v>11.35</v>
      </c>
      <c r="BZ24" s="323">
        <v>2.83</v>
      </c>
      <c r="CA24" s="323">
        <v>0.14000000000000001</v>
      </c>
      <c r="CB24" s="323">
        <v>0.16400000000000001</v>
      </c>
      <c r="CC24" s="323">
        <v>99.305000000000007</v>
      </c>
      <c r="CD24" s="323"/>
    </row>
    <row r="25" spans="1:82" ht="15.75" x14ac:dyDescent="0.25">
      <c r="A25" s="325" t="s">
        <v>669</v>
      </c>
      <c r="B25" s="333" t="s">
        <v>657</v>
      </c>
      <c r="C25" s="52"/>
      <c r="D25" s="58">
        <v>0.124</v>
      </c>
      <c r="E25" s="59">
        <v>10.56</v>
      </c>
      <c r="F25" s="59">
        <v>125.5</v>
      </c>
      <c r="G25" s="59">
        <v>1.367</v>
      </c>
      <c r="H25" s="59">
        <v>0.38600000000000001</v>
      </c>
      <c r="I25" s="59">
        <v>17.07</v>
      </c>
      <c r="J25" s="59">
        <v>1.0900000000000001</v>
      </c>
      <c r="K25" s="59"/>
      <c r="L25" s="59">
        <v>12.02</v>
      </c>
      <c r="M25" s="59">
        <v>25.52</v>
      </c>
      <c r="N25" s="59">
        <v>0.98</v>
      </c>
      <c r="O25" s="59">
        <v>3.28</v>
      </c>
      <c r="P25" s="59">
        <v>207</v>
      </c>
      <c r="Q25" s="59">
        <v>14.86</v>
      </c>
      <c r="R25" s="59">
        <v>110.1</v>
      </c>
      <c r="S25" s="59">
        <v>2.54</v>
      </c>
      <c r="T25" s="59">
        <v>3.72</v>
      </c>
      <c r="U25" s="59">
        <v>9092.1779999999999</v>
      </c>
      <c r="V25" s="59">
        <v>1.29</v>
      </c>
      <c r="W25" s="59">
        <v>4.26</v>
      </c>
      <c r="X25" s="59">
        <v>0.73</v>
      </c>
      <c r="Y25" s="59">
        <v>4.62</v>
      </c>
      <c r="Z25" s="59">
        <v>26.6</v>
      </c>
      <c r="AA25" s="59">
        <v>0.96</v>
      </c>
      <c r="AB25" s="59">
        <v>2.75</v>
      </c>
      <c r="AC25" s="59"/>
      <c r="AD25" s="59">
        <v>2.59</v>
      </c>
      <c r="AE25" s="59">
        <v>0.38</v>
      </c>
      <c r="AF25" s="59">
        <v>3.1E-2</v>
      </c>
      <c r="AG25" s="59">
        <v>41.7</v>
      </c>
      <c r="AH25" s="59">
        <v>216</v>
      </c>
      <c r="AI25" s="59">
        <v>97</v>
      </c>
      <c r="AJ25" s="59">
        <v>265</v>
      </c>
      <c r="AK25" s="59">
        <v>0.31</v>
      </c>
      <c r="AL25" s="59">
        <v>35.700000000000003</v>
      </c>
      <c r="AM25" s="59">
        <v>82.4</v>
      </c>
      <c r="AN25" s="59">
        <v>74</v>
      </c>
      <c r="AO25" s="59">
        <v>17.3</v>
      </c>
      <c r="AP25" s="59"/>
      <c r="AQ25" s="59"/>
      <c r="AR25" s="59"/>
      <c r="AS25" s="59">
        <v>0.56000000000000005</v>
      </c>
      <c r="AT25" s="59">
        <v>0.87</v>
      </c>
      <c r="AU25" s="59"/>
      <c r="AV25" s="59">
        <v>5.3</v>
      </c>
      <c r="AW25" s="59"/>
      <c r="AX25" s="59"/>
      <c r="AY25" s="59"/>
      <c r="AZ25" s="59"/>
      <c r="BA25" s="59"/>
      <c r="BB25" s="59"/>
      <c r="BC25" s="59"/>
      <c r="BD25" s="59"/>
      <c r="BE25" s="59"/>
      <c r="BF25" s="59"/>
      <c r="BG25" s="59"/>
      <c r="BH25" s="59"/>
      <c r="BI25" s="59"/>
      <c r="BJ25" s="59"/>
      <c r="BK25" s="59"/>
      <c r="BL25" s="59"/>
      <c r="BM25" s="59"/>
      <c r="BN25" s="59"/>
      <c r="BO25" s="59"/>
      <c r="BP25" s="59"/>
      <c r="BQ25" s="59"/>
      <c r="BR25" s="59"/>
      <c r="BS25" s="323">
        <v>50.47</v>
      </c>
      <c r="BT25" s="323">
        <v>1.68</v>
      </c>
      <c r="BU25" s="323">
        <v>14.7</v>
      </c>
      <c r="BV25" s="323">
        <v>10.43</v>
      </c>
      <c r="BW25" s="323">
        <v>0.184</v>
      </c>
      <c r="BX25" s="323">
        <v>7.58</v>
      </c>
      <c r="BY25" s="323">
        <v>11.39</v>
      </c>
      <c r="BZ25" s="323">
        <v>2.79</v>
      </c>
      <c r="CA25" s="323">
        <v>0.16</v>
      </c>
      <c r="CB25" s="323">
        <v>0.184</v>
      </c>
      <c r="CC25" s="323">
        <v>99.567999999999998</v>
      </c>
      <c r="CD25" s="323"/>
    </row>
    <row r="26" spans="1:82" ht="15.75" x14ac:dyDescent="0.25">
      <c r="A26" s="325" t="s">
        <v>668</v>
      </c>
      <c r="B26" s="333" t="s">
        <v>653</v>
      </c>
      <c r="C26" s="52"/>
      <c r="D26" s="58">
        <v>6.3E-2</v>
      </c>
      <c r="E26" s="59">
        <v>5.04</v>
      </c>
      <c r="F26" s="59">
        <v>57</v>
      </c>
      <c r="G26" s="59">
        <v>0.6</v>
      </c>
      <c r="H26" s="59">
        <v>0.18</v>
      </c>
      <c r="I26" s="59">
        <v>8.3000000000000007</v>
      </c>
      <c r="J26" s="59">
        <v>0.47</v>
      </c>
      <c r="K26" s="59">
        <v>2100</v>
      </c>
      <c r="L26" s="59">
        <v>6.3</v>
      </c>
      <c r="M26" s="59">
        <v>15</v>
      </c>
      <c r="N26" s="59">
        <v>0.6</v>
      </c>
      <c r="O26" s="59">
        <v>2.0499999999999998</v>
      </c>
      <c r="P26" s="59">
        <v>155</v>
      </c>
      <c r="Q26" s="59">
        <v>9</v>
      </c>
      <c r="R26" s="59">
        <v>73</v>
      </c>
      <c r="S26" s="59">
        <v>2.0299999999999998</v>
      </c>
      <c r="T26" s="59">
        <v>2.6</v>
      </c>
      <c r="U26" s="59">
        <v>6000</v>
      </c>
      <c r="V26" s="59">
        <v>0.91</v>
      </c>
      <c r="W26" s="59">
        <v>2.97</v>
      </c>
      <c r="X26" s="59">
        <v>0.53</v>
      </c>
      <c r="Y26" s="59">
        <v>3.55</v>
      </c>
      <c r="Z26" s="59">
        <v>22</v>
      </c>
      <c r="AA26" s="59">
        <v>0.79</v>
      </c>
      <c r="AB26" s="59">
        <v>2.31</v>
      </c>
      <c r="AC26" s="59"/>
      <c r="AD26" s="59">
        <v>2.37</v>
      </c>
      <c r="AE26" s="59">
        <v>0.35399999999999998</v>
      </c>
      <c r="AF26" s="59">
        <v>1.2999999999999999E-2</v>
      </c>
      <c r="AG26" s="59"/>
      <c r="AH26" s="59"/>
      <c r="AI26" s="59"/>
      <c r="AJ26" s="59"/>
      <c r="AK26" s="59">
        <v>9.1999999999999998E-2</v>
      </c>
      <c r="AL26" s="59"/>
      <c r="AM26" s="59"/>
      <c r="AN26" s="59"/>
      <c r="AO26" s="59"/>
      <c r="AP26" s="59"/>
      <c r="AQ26" s="59">
        <v>0.47</v>
      </c>
      <c r="AR26" s="59">
        <v>620</v>
      </c>
      <c r="AS26" s="59"/>
      <c r="AT26" s="59">
        <v>0.8</v>
      </c>
      <c r="AU26" s="59">
        <v>0.01</v>
      </c>
      <c r="AV26" s="59">
        <v>3.5</v>
      </c>
      <c r="AW26" s="59"/>
      <c r="AX26" s="59"/>
      <c r="AY26" s="59"/>
      <c r="AZ26" s="59"/>
      <c r="BA26" s="59"/>
      <c r="BB26" s="59"/>
      <c r="BC26" s="59"/>
      <c r="BD26" s="59"/>
      <c r="BE26" s="59"/>
      <c r="BF26" s="59"/>
      <c r="BG26" s="59"/>
      <c r="BH26" s="59"/>
      <c r="BI26" s="59"/>
      <c r="BJ26" s="59"/>
      <c r="BK26" s="59"/>
      <c r="BL26" s="59"/>
      <c r="BM26" s="59"/>
      <c r="BN26" s="59"/>
      <c r="BO26" s="59"/>
      <c r="BP26" s="59"/>
      <c r="BQ26" s="59"/>
      <c r="BR26" s="59"/>
      <c r="BS26" s="323">
        <v>50.58</v>
      </c>
      <c r="BT26" s="323">
        <v>1.53</v>
      </c>
      <c r="BU26" s="323">
        <v>14.94</v>
      </c>
      <c r="BV26" s="323">
        <v>9.64</v>
      </c>
      <c r="BW26" s="323">
        <v>0.16500000000000001</v>
      </c>
      <c r="BX26" s="323">
        <v>7.37</v>
      </c>
      <c r="BY26" s="323">
        <v>11.18</v>
      </c>
      <c r="BZ26" s="323">
        <v>2.72</v>
      </c>
      <c r="CA26" s="323">
        <v>0.39400000000000002</v>
      </c>
      <c r="CB26" s="323">
        <v>0.24399999999999999</v>
      </c>
      <c r="CC26" s="323">
        <v>98.763000000000005</v>
      </c>
      <c r="CD26" s="323"/>
    </row>
    <row r="27" spans="1:82" ht="15.75" x14ac:dyDescent="0.25">
      <c r="A27" s="325" t="s">
        <v>647</v>
      </c>
      <c r="B27" s="333" t="s">
        <v>657</v>
      </c>
      <c r="C27" s="52"/>
      <c r="D27" s="58">
        <v>3.4000000000000002E-2</v>
      </c>
      <c r="E27" s="59">
        <v>2.88</v>
      </c>
      <c r="F27" s="59">
        <v>29.2</v>
      </c>
      <c r="G27" s="59">
        <v>0.40400000000000003</v>
      </c>
      <c r="H27" s="59">
        <v>0.11899999999999999</v>
      </c>
      <c r="I27" s="59">
        <v>5.24</v>
      </c>
      <c r="J27" s="59">
        <v>0.34</v>
      </c>
      <c r="K27" s="59"/>
      <c r="L27" s="59">
        <v>5.21</v>
      </c>
      <c r="M27" s="59">
        <v>14.86</v>
      </c>
      <c r="N27" s="59">
        <v>0.56999999999999995</v>
      </c>
      <c r="O27" s="59">
        <v>2.2400000000000002</v>
      </c>
      <c r="P27" s="59">
        <v>129</v>
      </c>
      <c r="Q27" s="59">
        <v>12.03</v>
      </c>
      <c r="R27" s="59">
        <v>116.9</v>
      </c>
      <c r="S27" s="59">
        <v>2.79</v>
      </c>
      <c r="T27" s="59">
        <v>3.82</v>
      </c>
      <c r="U27" s="59">
        <v>9983.5680000000011</v>
      </c>
      <c r="V27" s="59">
        <v>1.36</v>
      </c>
      <c r="W27" s="59">
        <v>4.99</v>
      </c>
      <c r="X27" s="59">
        <v>0.9</v>
      </c>
      <c r="Y27" s="59">
        <v>6.08</v>
      </c>
      <c r="Z27" s="59">
        <v>36.799999999999997</v>
      </c>
      <c r="AA27" s="59">
        <v>1.28</v>
      </c>
      <c r="AB27" s="59">
        <v>3.79</v>
      </c>
      <c r="AC27" s="59"/>
      <c r="AD27" s="59">
        <v>3.63</v>
      </c>
      <c r="AE27" s="59">
        <v>0.53</v>
      </c>
      <c r="AF27" s="59">
        <v>0.02</v>
      </c>
      <c r="AG27" s="59">
        <v>43</v>
      </c>
      <c r="AH27" s="59">
        <v>249</v>
      </c>
      <c r="AI27" s="59">
        <v>92</v>
      </c>
      <c r="AJ27" s="59">
        <v>309</v>
      </c>
      <c r="AK27" s="59">
        <v>0.12</v>
      </c>
      <c r="AL27" s="59">
        <v>39.799999999999997</v>
      </c>
      <c r="AM27" s="59">
        <v>91.3</v>
      </c>
      <c r="AN27" s="59">
        <v>74</v>
      </c>
      <c r="AO27" s="59">
        <v>17.5</v>
      </c>
      <c r="AP27" s="59"/>
      <c r="AQ27" s="59"/>
      <c r="AR27" s="59"/>
      <c r="AS27" s="59">
        <v>0.76</v>
      </c>
      <c r="AT27" s="59">
        <v>0.92</v>
      </c>
      <c r="AU27" s="59"/>
      <c r="AV27" s="59">
        <v>6.5</v>
      </c>
      <c r="AW27" s="59"/>
      <c r="AX27" s="59"/>
      <c r="AY27" s="59"/>
      <c r="AZ27" s="59"/>
      <c r="BA27" s="59"/>
      <c r="BB27" s="59"/>
      <c r="BC27" s="59"/>
      <c r="BD27" s="59"/>
      <c r="BE27" s="59"/>
      <c r="BF27" s="59"/>
      <c r="BG27" s="59"/>
      <c r="BH27" s="59"/>
      <c r="BI27" s="59"/>
      <c r="BJ27" s="59"/>
      <c r="BK27" s="59"/>
      <c r="BL27" s="59"/>
      <c r="BM27" s="59"/>
      <c r="BN27" s="59"/>
      <c r="BO27" s="59"/>
      <c r="BP27" s="59"/>
      <c r="BQ27" s="59"/>
      <c r="BR27" s="59"/>
      <c r="BS27" s="323"/>
      <c r="BT27" s="323"/>
      <c r="BU27" s="323"/>
      <c r="BV27" s="323"/>
      <c r="BW27" s="323"/>
      <c r="BX27" s="323"/>
      <c r="BY27" s="323"/>
      <c r="BZ27" s="323"/>
      <c r="CA27" s="323"/>
      <c r="CB27" s="323"/>
      <c r="CC27" s="323"/>
      <c r="CD27" s="323"/>
    </row>
    <row r="28" spans="1:82" ht="15.75" x14ac:dyDescent="0.25">
      <c r="A28" s="325" t="s">
        <v>648</v>
      </c>
      <c r="B28" s="333" t="s">
        <v>653</v>
      </c>
      <c r="C28" s="52"/>
      <c r="D28" s="58">
        <v>0.38700000000000001</v>
      </c>
      <c r="E28" s="59">
        <v>31</v>
      </c>
      <c r="F28" s="59">
        <v>350</v>
      </c>
      <c r="G28" s="59">
        <v>4</v>
      </c>
      <c r="H28" s="59">
        <v>1.02</v>
      </c>
      <c r="I28" s="59">
        <v>48</v>
      </c>
      <c r="J28" s="59">
        <v>2.7</v>
      </c>
      <c r="K28" s="59">
        <v>12000</v>
      </c>
      <c r="L28" s="59">
        <v>37</v>
      </c>
      <c r="M28" s="59">
        <v>80</v>
      </c>
      <c r="N28" s="59">
        <v>3.2</v>
      </c>
      <c r="O28" s="59">
        <v>9.6999999999999993</v>
      </c>
      <c r="P28" s="59">
        <v>660</v>
      </c>
      <c r="Q28" s="59">
        <v>38.5</v>
      </c>
      <c r="R28" s="59">
        <v>280</v>
      </c>
      <c r="S28" s="59">
        <v>7.8</v>
      </c>
      <c r="T28" s="59">
        <v>10</v>
      </c>
      <c r="U28" s="59">
        <v>17200</v>
      </c>
      <c r="V28" s="59">
        <v>3</v>
      </c>
      <c r="W28" s="59">
        <v>7.62</v>
      </c>
      <c r="X28" s="59">
        <v>1.05</v>
      </c>
      <c r="Y28" s="59">
        <v>5.6</v>
      </c>
      <c r="Z28" s="59">
        <v>2.16</v>
      </c>
      <c r="AA28" s="59">
        <v>1.06</v>
      </c>
      <c r="AB28" s="59">
        <v>2.62</v>
      </c>
      <c r="AC28" s="59"/>
      <c r="AD28" s="59">
        <v>0.35</v>
      </c>
      <c r="AE28" s="59">
        <v>0.3</v>
      </c>
      <c r="AF28" s="59">
        <v>7.6999999999999999E-2</v>
      </c>
      <c r="AG28" s="59"/>
      <c r="AH28" s="59"/>
      <c r="AI28" s="59"/>
      <c r="AJ28" s="59"/>
      <c r="AK28" s="59">
        <v>0.56000000000000005</v>
      </c>
      <c r="AL28" s="59"/>
      <c r="AM28" s="59"/>
      <c r="AN28" s="59"/>
      <c r="AO28" s="59"/>
      <c r="AP28" s="59"/>
      <c r="AQ28" s="59">
        <v>2.4</v>
      </c>
      <c r="AR28" s="59">
        <v>2700</v>
      </c>
      <c r="AS28" s="59"/>
      <c r="AT28" s="59">
        <v>2.7</v>
      </c>
      <c r="AU28" s="59">
        <v>0.03</v>
      </c>
      <c r="AV28" s="59">
        <v>5.6</v>
      </c>
      <c r="AW28" s="59"/>
      <c r="AX28" s="59"/>
      <c r="AY28" s="59"/>
      <c r="AZ28" s="59"/>
      <c r="BA28" s="59"/>
      <c r="BB28" s="59"/>
      <c r="BC28" s="59"/>
      <c r="BD28" s="59"/>
      <c r="BE28" s="59"/>
      <c r="BF28" s="59"/>
      <c r="BG28" s="59"/>
      <c r="BH28" s="59"/>
      <c r="BI28" s="59"/>
      <c r="BJ28" s="59"/>
      <c r="BK28" s="59"/>
      <c r="BL28" s="59"/>
      <c r="BM28" s="59"/>
      <c r="BN28" s="59"/>
      <c r="BO28" s="59"/>
      <c r="BP28" s="59"/>
      <c r="BQ28" s="59"/>
      <c r="BR28" s="59"/>
      <c r="BS28" s="323">
        <v>58.55</v>
      </c>
      <c r="BT28" s="323">
        <v>0.62</v>
      </c>
      <c r="BU28" s="323">
        <v>11.91</v>
      </c>
      <c r="BV28" s="323">
        <v>5.21</v>
      </c>
      <c r="BW28" s="323">
        <v>0.32</v>
      </c>
      <c r="BX28" s="323">
        <v>2.48</v>
      </c>
      <c r="BY28" s="323">
        <v>5.95</v>
      </c>
      <c r="BZ28" s="323">
        <v>2.4300000000000002</v>
      </c>
      <c r="CA28" s="323">
        <v>2.04</v>
      </c>
      <c r="CB28" s="323">
        <v>0.19</v>
      </c>
      <c r="CC28" s="323">
        <v>89.7</v>
      </c>
      <c r="CD28" s="323"/>
    </row>
    <row r="29" spans="1:82" ht="15.75" x14ac:dyDescent="0.25">
      <c r="A29" s="325" t="s">
        <v>662</v>
      </c>
      <c r="B29" s="333" t="s">
        <v>658</v>
      </c>
      <c r="C29" s="52"/>
      <c r="D29" s="58">
        <v>3.48</v>
      </c>
      <c r="E29" s="59">
        <v>57.2</v>
      </c>
      <c r="F29" s="59">
        <v>776</v>
      </c>
      <c r="G29" s="59">
        <v>6.91</v>
      </c>
      <c r="H29" s="59">
        <v>1.68</v>
      </c>
      <c r="I29" s="59">
        <v>8.94</v>
      </c>
      <c r="J29" s="59">
        <v>0.63</v>
      </c>
      <c r="K29" s="59"/>
      <c r="L29" s="59">
        <v>28.8</v>
      </c>
      <c r="M29" s="59">
        <v>57.3</v>
      </c>
      <c r="N29" s="59">
        <v>19.899999999999999</v>
      </c>
      <c r="O29" s="59"/>
      <c r="P29" s="59">
        <v>327</v>
      </c>
      <c r="Q29" s="59">
        <v>27</v>
      </c>
      <c r="R29" s="59">
        <v>130</v>
      </c>
      <c r="S29" s="59">
        <v>4.0599999999999996</v>
      </c>
      <c r="T29" s="59">
        <v>5.78</v>
      </c>
      <c r="U29" s="59">
        <v>3684.4120000000003</v>
      </c>
      <c r="V29" s="59">
        <v>1.31</v>
      </c>
      <c r="W29" s="59">
        <v>5.26</v>
      </c>
      <c r="X29" s="59"/>
      <c r="Y29" s="59">
        <v>4.99</v>
      </c>
      <c r="Z29" s="59">
        <v>29.8</v>
      </c>
      <c r="AA29" s="59"/>
      <c r="AB29" s="59">
        <v>2.92</v>
      </c>
      <c r="AC29" s="59"/>
      <c r="AD29" s="59">
        <v>2.76</v>
      </c>
      <c r="AE29" s="59">
        <v>0.41299999999999998</v>
      </c>
      <c r="AF29" s="59"/>
      <c r="AG29" s="59"/>
      <c r="AH29" s="59"/>
      <c r="AI29" s="59"/>
      <c r="AJ29" s="59"/>
      <c r="AK29" s="59"/>
      <c r="AL29" s="59"/>
      <c r="AM29" s="59">
        <v>86.4</v>
      </c>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323">
        <v>58.62</v>
      </c>
      <c r="BT29" s="323">
        <v>0.14000000000000001</v>
      </c>
      <c r="BU29" s="323">
        <v>11.76</v>
      </c>
      <c r="BV29" s="323">
        <v>9.2799999999999994</v>
      </c>
      <c r="BW29" s="323">
        <v>0.15</v>
      </c>
      <c r="BX29" s="323">
        <v>10.039999999999999</v>
      </c>
      <c r="BY29" s="323">
        <v>6.89</v>
      </c>
      <c r="BZ29" s="323">
        <v>2.44</v>
      </c>
      <c r="CA29" s="323">
        <v>0.67</v>
      </c>
      <c r="CB29" s="323">
        <v>0.01</v>
      </c>
      <c r="CC29" s="323">
        <v>100.00000000000001</v>
      </c>
      <c r="CD29" s="323"/>
    </row>
    <row r="30" spans="1:82" ht="15.75" x14ac:dyDescent="0.25">
      <c r="A30" s="325" t="s">
        <v>649</v>
      </c>
      <c r="B30" s="333" t="s">
        <v>658</v>
      </c>
      <c r="C30" s="52"/>
      <c r="D30" s="58"/>
      <c r="E30" s="59">
        <v>13</v>
      </c>
      <c r="F30" s="59">
        <v>35</v>
      </c>
      <c r="G30" s="59">
        <v>0.23</v>
      </c>
      <c r="H30" s="59">
        <v>0.21</v>
      </c>
      <c r="I30" s="59">
        <v>0.66</v>
      </c>
      <c r="J30" s="59">
        <v>0.06</v>
      </c>
      <c r="K30" s="59"/>
      <c r="L30" s="59">
        <v>0.86</v>
      </c>
      <c r="M30" s="59">
        <v>1.8</v>
      </c>
      <c r="N30" s="59">
        <v>1.99</v>
      </c>
      <c r="O30" s="59"/>
      <c r="P30" s="59">
        <v>86</v>
      </c>
      <c r="Q30" s="59">
        <v>1.24</v>
      </c>
      <c r="R30" s="59">
        <v>27</v>
      </c>
      <c r="S30" s="59">
        <v>0.75</v>
      </c>
      <c r="T30" s="59">
        <v>0.47</v>
      </c>
      <c r="U30" s="59">
        <v>831.96400000000017</v>
      </c>
      <c r="V30" s="59">
        <v>0.14000000000000001</v>
      </c>
      <c r="W30" s="59">
        <v>0.46</v>
      </c>
      <c r="X30" s="59"/>
      <c r="Y30" s="59">
        <v>0.62</v>
      </c>
      <c r="Z30" s="59">
        <v>4</v>
      </c>
      <c r="AA30" s="59"/>
      <c r="AB30" s="59">
        <v>0.48</v>
      </c>
      <c r="AC30" s="59"/>
      <c r="AD30" s="59">
        <v>0.68</v>
      </c>
      <c r="AE30" s="59">
        <v>0.12</v>
      </c>
      <c r="AF30" s="59"/>
      <c r="AG30" s="59"/>
      <c r="AH30" s="59"/>
      <c r="AI30" s="59"/>
      <c r="AJ30" s="59"/>
      <c r="AK30" s="59"/>
      <c r="AL30" s="59"/>
      <c r="AM30" s="59">
        <v>66</v>
      </c>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c r="BS30" s="323">
        <v>51.67</v>
      </c>
      <c r="BT30" s="323">
        <v>1.37</v>
      </c>
      <c r="BU30" s="323">
        <v>15.17</v>
      </c>
      <c r="BV30" s="323">
        <v>9.8800000000000008</v>
      </c>
      <c r="BW30" s="323">
        <v>0.19</v>
      </c>
      <c r="BX30" s="323">
        <v>6.68</v>
      </c>
      <c r="BY30" s="323">
        <v>10.85</v>
      </c>
      <c r="BZ30" s="323">
        <v>2.82</v>
      </c>
      <c r="CA30" s="323">
        <v>0.23599999999999999</v>
      </c>
      <c r="CB30" s="323">
        <v>0.17899999999999999</v>
      </c>
      <c r="CC30" s="323">
        <v>99.044999999999973</v>
      </c>
      <c r="CD30" s="323"/>
    </row>
    <row r="31" spans="1:82" ht="15.75" x14ac:dyDescent="0.25">
      <c r="A31" s="325" t="s">
        <v>670</v>
      </c>
      <c r="B31" s="333" t="s">
        <v>657</v>
      </c>
      <c r="C31" s="52"/>
      <c r="D31" s="58">
        <v>0.129</v>
      </c>
      <c r="E31" s="59">
        <v>6.16</v>
      </c>
      <c r="F31" s="59">
        <v>64.3</v>
      </c>
      <c r="G31" s="59">
        <v>0.44</v>
      </c>
      <c r="H31" s="59">
        <v>0.161</v>
      </c>
      <c r="I31" s="59">
        <v>3.01</v>
      </c>
      <c r="J31" s="59">
        <v>0.19</v>
      </c>
      <c r="K31" s="59"/>
      <c r="L31" s="59">
        <v>4.66</v>
      </c>
      <c r="M31" s="59">
        <v>12.14</v>
      </c>
      <c r="N31" s="59">
        <v>1.08</v>
      </c>
      <c r="O31" s="59">
        <v>1.91</v>
      </c>
      <c r="P31" s="59">
        <v>175</v>
      </c>
      <c r="Q31" s="59">
        <v>9.64</v>
      </c>
      <c r="R31" s="59">
        <v>80.599999999999994</v>
      </c>
      <c r="S31" s="59">
        <v>2.15</v>
      </c>
      <c r="T31" s="59">
        <v>3.03</v>
      </c>
      <c r="U31" s="59">
        <v>8141.362000000001</v>
      </c>
      <c r="V31" s="59">
        <v>1.08</v>
      </c>
      <c r="W31" s="59">
        <v>3.92</v>
      </c>
      <c r="X31" s="59">
        <v>0.7</v>
      </c>
      <c r="Y31" s="59">
        <v>4.6399999999999997</v>
      </c>
      <c r="Z31" s="59">
        <v>27.8</v>
      </c>
      <c r="AA31" s="59">
        <v>1</v>
      </c>
      <c r="AB31" s="59">
        <v>2.9</v>
      </c>
      <c r="AC31" s="59"/>
      <c r="AD31" s="59">
        <v>2.87</v>
      </c>
      <c r="AE31" s="59">
        <v>0.44</v>
      </c>
      <c r="AF31" s="59">
        <v>4.3999999999999997E-2</v>
      </c>
      <c r="AG31" s="59">
        <v>37.6</v>
      </c>
      <c r="AH31" s="59">
        <v>189</v>
      </c>
      <c r="AI31" s="59">
        <v>76</v>
      </c>
      <c r="AJ31" s="59">
        <v>285</v>
      </c>
      <c r="AK31" s="59">
        <v>0.08</v>
      </c>
      <c r="AL31" s="59">
        <v>36.299999999999997</v>
      </c>
      <c r="AM31" s="59">
        <v>79.5</v>
      </c>
      <c r="AN31" s="59">
        <v>81</v>
      </c>
      <c r="AO31" s="59">
        <v>15.5</v>
      </c>
      <c r="AP31" s="59"/>
      <c r="AQ31" s="59"/>
      <c r="AR31" s="59"/>
      <c r="AS31" s="59">
        <v>0.45</v>
      </c>
      <c r="AT31" s="59">
        <v>0.55000000000000004</v>
      </c>
      <c r="AU31" s="59"/>
      <c r="AV31" s="59">
        <v>6.4</v>
      </c>
      <c r="AW31" s="59"/>
      <c r="AX31" s="59"/>
      <c r="AY31" s="59"/>
      <c r="AZ31" s="59"/>
      <c r="BA31" s="59"/>
      <c r="BB31" s="59"/>
      <c r="BC31" s="59"/>
      <c r="BD31" s="59"/>
      <c r="BE31" s="59"/>
      <c r="BF31" s="59"/>
      <c r="BG31" s="59"/>
      <c r="BH31" s="59"/>
      <c r="BI31" s="59"/>
      <c r="BJ31" s="59"/>
      <c r="BK31" s="59"/>
      <c r="BL31" s="59"/>
      <c r="BM31" s="59"/>
      <c r="BN31" s="59"/>
      <c r="BO31" s="59"/>
      <c r="BP31" s="59"/>
      <c r="BQ31" s="59"/>
      <c r="BR31" s="59"/>
      <c r="BS31" s="323">
        <v>51.3</v>
      </c>
      <c r="BT31" s="323">
        <v>0.69</v>
      </c>
      <c r="BU31" s="323">
        <v>17.12</v>
      </c>
      <c r="BV31" s="323">
        <v>7.08</v>
      </c>
      <c r="BW31" s="323">
        <v>0.14000000000000001</v>
      </c>
      <c r="BX31" s="323">
        <v>7.55</v>
      </c>
      <c r="BY31" s="323">
        <v>13.33</v>
      </c>
      <c r="BZ31" s="323">
        <v>2.14</v>
      </c>
      <c r="CA31" s="323">
        <v>0.5</v>
      </c>
      <c r="CB31" s="323">
        <v>0.15</v>
      </c>
      <c r="CC31" s="323">
        <v>100</v>
      </c>
      <c r="CD31" s="323"/>
    </row>
    <row r="32" spans="1:82" ht="15.75" x14ac:dyDescent="0.25">
      <c r="A32" s="325" t="s">
        <v>671</v>
      </c>
      <c r="B32" s="333" t="s">
        <v>658</v>
      </c>
      <c r="C32" s="52"/>
      <c r="D32" s="58">
        <v>0.13</v>
      </c>
      <c r="E32" s="59">
        <v>9.3000000000000007</v>
      </c>
      <c r="F32" s="59">
        <v>150</v>
      </c>
      <c r="G32" s="59">
        <v>1.5</v>
      </c>
      <c r="H32" s="59">
        <v>0.41</v>
      </c>
      <c r="I32" s="59">
        <v>3.05</v>
      </c>
      <c r="J32" s="59">
        <v>0.16</v>
      </c>
      <c r="K32" s="59"/>
      <c r="L32" s="59">
        <v>9.76</v>
      </c>
      <c r="M32" s="59">
        <v>19.03</v>
      </c>
      <c r="N32" s="59">
        <v>1.64</v>
      </c>
      <c r="O32" s="59"/>
      <c r="P32" s="59">
        <v>365</v>
      </c>
      <c r="Q32" s="59">
        <v>10.61</v>
      </c>
      <c r="R32" s="59">
        <v>51</v>
      </c>
      <c r="S32" s="59">
        <v>1.26</v>
      </c>
      <c r="T32" s="59">
        <v>2.59</v>
      </c>
      <c r="U32" s="59">
        <v>4100.3940000000002</v>
      </c>
      <c r="V32" s="59">
        <v>0.89500000000000002</v>
      </c>
      <c r="W32" s="59">
        <v>2.73</v>
      </c>
      <c r="X32" s="59"/>
      <c r="Y32" s="59">
        <v>2.57</v>
      </c>
      <c r="Z32" s="59">
        <v>15.7</v>
      </c>
      <c r="AA32" s="59"/>
      <c r="AB32" s="59">
        <v>1.44</v>
      </c>
      <c r="AC32" s="59"/>
      <c r="AD32" s="59">
        <v>1.38</v>
      </c>
      <c r="AE32" s="59">
        <v>0.21</v>
      </c>
      <c r="AF32" s="59"/>
      <c r="AG32" s="59"/>
      <c r="AH32" s="59"/>
      <c r="AI32" s="59"/>
      <c r="AJ32" s="59"/>
      <c r="AK32" s="59"/>
      <c r="AL32" s="59"/>
      <c r="AM32" s="59">
        <v>50</v>
      </c>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c r="BS32" s="323">
        <v>49.87</v>
      </c>
      <c r="BT32" s="323">
        <v>0.87</v>
      </c>
      <c r="BU32" s="323">
        <v>15.86</v>
      </c>
      <c r="BV32" s="323">
        <v>10.53</v>
      </c>
      <c r="BW32" s="323">
        <v>0.2</v>
      </c>
      <c r="BX32" s="323">
        <v>7.31</v>
      </c>
      <c r="BY32" s="323">
        <v>12.15</v>
      </c>
      <c r="BZ32" s="323">
        <v>2.35</v>
      </c>
      <c r="CA32" s="323">
        <v>0.69</v>
      </c>
      <c r="CB32" s="323">
        <v>0.17</v>
      </c>
      <c r="CC32" s="323">
        <v>100</v>
      </c>
      <c r="CD32" s="323"/>
    </row>
    <row r="33" spans="1:82" ht="15.75" x14ac:dyDescent="0.25">
      <c r="A33" s="325" t="s">
        <v>650</v>
      </c>
      <c r="B33" s="333" t="s">
        <v>658</v>
      </c>
      <c r="C33" s="52"/>
      <c r="D33" s="58">
        <v>0.19</v>
      </c>
      <c r="E33" s="59">
        <v>5.6</v>
      </c>
      <c r="F33" s="59">
        <v>126</v>
      </c>
      <c r="G33" s="59">
        <v>0.55000000000000004</v>
      </c>
      <c r="H33" s="59">
        <v>0.28000000000000003</v>
      </c>
      <c r="I33" s="59">
        <v>0.76</v>
      </c>
      <c r="J33" s="59">
        <v>0.04</v>
      </c>
      <c r="K33" s="59"/>
      <c r="L33" s="59">
        <v>4.24</v>
      </c>
      <c r="M33" s="59">
        <v>9.73</v>
      </c>
      <c r="N33" s="59">
        <v>4.1100000000000003</v>
      </c>
      <c r="O33" s="59"/>
      <c r="P33" s="59">
        <v>423</v>
      </c>
      <c r="Q33" s="59">
        <v>7.65</v>
      </c>
      <c r="R33" s="59">
        <v>43.8</v>
      </c>
      <c r="S33" s="59">
        <v>1.21</v>
      </c>
      <c r="T33" s="59">
        <v>2.11</v>
      </c>
      <c r="U33" s="59">
        <v>5170.0619999999999</v>
      </c>
      <c r="V33" s="59">
        <v>0.82</v>
      </c>
      <c r="W33" s="59">
        <v>2.54</v>
      </c>
      <c r="X33" s="59"/>
      <c r="Y33" s="59">
        <v>2.84</v>
      </c>
      <c r="Z33" s="59">
        <v>17.5</v>
      </c>
      <c r="AA33" s="59"/>
      <c r="AB33" s="59">
        <v>1.66</v>
      </c>
      <c r="AC33" s="59"/>
      <c r="AD33" s="59">
        <v>1.49</v>
      </c>
      <c r="AE33" s="59">
        <v>0.28999999999999998</v>
      </c>
      <c r="AF33" s="59"/>
      <c r="AG33" s="59"/>
      <c r="AH33" s="59"/>
      <c r="AI33" s="59"/>
      <c r="AJ33" s="59"/>
      <c r="AK33" s="59"/>
      <c r="AL33" s="59"/>
      <c r="AM33" s="59">
        <v>75</v>
      </c>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c r="BS33" s="323">
        <v>64.91</v>
      </c>
      <c r="BT33" s="323">
        <v>0.86</v>
      </c>
      <c r="BU33" s="323">
        <v>16.32</v>
      </c>
      <c r="BV33" s="323">
        <v>4.03</v>
      </c>
      <c r="BW33" s="323">
        <v>0.06</v>
      </c>
      <c r="BX33" s="323">
        <v>1.86</v>
      </c>
      <c r="BY33" s="323">
        <v>4.08</v>
      </c>
      <c r="BZ33" s="323">
        <v>4.37</v>
      </c>
      <c r="CA33" s="323">
        <v>3.23</v>
      </c>
      <c r="CB33" s="323">
        <v>0.28000000000000003</v>
      </c>
      <c r="CC33" s="323">
        <v>100.00000000000001</v>
      </c>
      <c r="CD33" s="323"/>
    </row>
    <row r="34" spans="1:82" ht="15.75" x14ac:dyDescent="0.25">
      <c r="A34" s="325" t="s">
        <v>651</v>
      </c>
      <c r="B34" s="333" t="s">
        <v>658</v>
      </c>
      <c r="C34" s="52"/>
      <c r="D34" s="58">
        <v>4.6900000000000004</v>
      </c>
      <c r="E34" s="59">
        <v>85</v>
      </c>
      <c r="F34" s="59">
        <v>1231</v>
      </c>
      <c r="G34" s="59">
        <v>16.5</v>
      </c>
      <c r="H34" s="59">
        <v>4.7</v>
      </c>
      <c r="I34" s="59">
        <v>3.25</v>
      </c>
      <c r="J34" s="59">
        <v>0.44</v>
      </c>
      <c r="K34" s="59"/>
      <c r="L34" s="59">
        <v>40.28</v>
      </c>
      <c r="M34" s="59">
        <v>86.73</v>
      </c>
      <c r="N34" s="59">
        <v>17.22</v>
      </c>
      <c r="O34" s="59"/>
      <c r="P34" s="59">
        <v>752</v>
      </c>
      <c r="Q34" s="59">
        <v>33.590000000000003</v>
      </c>
      <c r="R34" s="59">
        <v>173</v>
      </c>
      <c r="S34" s="59">
        <v>8</v>
      </c>
      <c r="T34" s="59">
        <v>5.43</v>
      </c>
      <c r="U34" s="59">
        <v>5110.6360000000004</v>
      </c>
      <c r="V34" s="59">
        <v>1.77</v>
      </c>
      <c r="W34" s="59">
        <v>4.68</v>
      </c>
      <c r="X34" s="59"/>
      <c r="Y34" s="59">
        <v>2.19</v>
      </c>
      <c r="Z34" s="59">
        <v>8</v>
      </c>
      <c r="AA34" s="59"/>
      <c r="AB34" s="59">
        <v>0.76</v>
      </c>
      <c r="AC34" s="59"/>
      <c r="AD34" s="59">
        <v>0.55000000000000004</v>
      </c>
      <c r="AE34" s="59">
        <v>0.1</v>
      </c>
      <c r="AF34" s="59"/>
      <c r="AG34" s="59"/>
      <c r="AH34" s="59"/>
      <c r="AI34" s="59"/>
      <c r="AJ34" s="59"/>
      <c r="AK34" s="59"/>
      <c r="AL34" s="59"/>
      <c r="AM34" s="59">
        <v>69</v>
      </c>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323">
        <v>57</v>
      </c>
      <c r="BT34" s="323">
        <v>0.9</v>
      </c>
      <c r="BU34" s="323">
        <v>15.9</v>
      </c>
      <c r="BV34" s="323">
        <v>9.1</v>
      </c>
      <c r="BW34" s="323"/>
      <c r="BX34" s="323">
        <v>5.3</v>
      </c>
      <c r="BY34" s="323">
        <v>7.4</v>
      </c>
      <c r="BZ34" s="323">
        <v>3.1</v>
      </c>
      <c r="CA34" s="323">
        <v>1.3</v>
      </c>
      <c r="CB34" s="323"/>
      <c r="CC34" s="323">
        <v>99.999999999999986</v>
      </c>
      <c r="CD34" s="323"/>
    </row>
    <row r="35" spans="1:82" ht="15.75" x14ac:dyDescent="0.25">
      <c r="A35" s="325" t="s">
        <v>652</v>
      </c>
      <c r="B35" s="333" t="s">
        <v>658</v>
      </c>
      <c r="C35" s="52"/>
      <c r="D35" s="58">
        <v>1.5</v>
      </c>
      <c r="E35" s="59">
        <v>37</v>
      </c>
      <c r="F35" s="59">
        <v>250</v>
      </c>
      <c r="G35" s="59">
        <v>4.2</v>
      </c>
      <c r="H35" s="59">
        <v>1.1000000000000001</v>
      </c>
      <c r="I35" s="59">
        <v>8</v>
      </c>
      <c r="J35" s="59">
        <v>0.8</v>
      </c>
      <c r="K35" s="59"/>
      <c r="L35" s="59">
        <v>16</v>
      </c>
      <c r="M35" s="59">
        <v>33</v>
      </c>
      <c r="N35" s="59">
        <v>8</v>
      </c>
      <c r="O35" s="59"/>
      <c r="P35" s="59">
        <v>260</v>
      </c>
      <c r="Q35" s="59">
        <v>16</v>
      </c>
      <c r="R35" s="59">
        <v>100</v>
      </c>
      <c r="S35" s="59">
        <v>3</v>
      </c>
      <c r="T35" s="59">
        <v>3.5</v>
      </c>
      <c r="U35" s="59">
        <v>5348.34</v>
      </c>
      <c r="V35" s="59">
        <v>1.1000000000000001</v>
      </c>
      <c r="W35" s="59">
        <v>3.3</v>
      </c>
      <c r="X35" s="59"/>
      <c r="Y35" s="59">
        <v>3.7</v>
      </c>
      <c r="Z35" s="59">
        <v>20</v>
      </c>
      <c r="AA35" s="59"/>
      <c r="AB35" s="59">
        <v>2.2000000000000002</v>
      </c>
      <c r="AC35" s="59"/>
      <c r="AD35" s="59">
        <v>2.2000000000000002</v>
      </c>
      <c r="AE35" s="59">
        <v>0.3</v>
      </c>
      <c r="AF35" s="59"/>
      <c r="AG35" s="59"/>
      <c r="AH35" s="59"/>
      <c r="AI35" s="59"/>
      <c r="AJ35" s="59"/>
      <c r="AK35" s="59"/>
      <c r="AL35" s="59"/>
      <c r="AM35" s="59">
        <v>80</v>
      </c>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c r="BS35" s="324"/>
      <c r="BT35" s="324"/>
      <c r="BU35" s="324"/>
      <c r="BV35" s="324"/>
      <c r="BW35" s="324"/>
      <c r="BX35" s="324"/>
      <c r="BY35" s="324"/>
      <c r="BZ35" s="324"/>
      <c r="CA35" s="324"/>
      <c r="CB35" s="324"/>
      <c r="CC35" s="324"/>
      <c r="CD35" s="324"/>
    </row>
    <row r="36" spans="1:82" ht="15.75" x14ac:dyDescent="0.25">
      <c r="A36" s="325" t="s">
        <v>634</v>
      </c>
      <c r="B36" s="333" t="s">
        <v>635</v>
      </c>
      <c r="C36" s="52"/>
      <c r="D36" s="58">
        <v>4.9000000000000004</v>
      </c>
      <c r="E36" s="59">
        <v>84</v>
      </c>
      <c r="F36" s="59">
        <v>624</v>
      </c>
      <c r="G36" s="59">
        <v>10.5</v>
      </c>
      <c r="H36" s="59">
        <v>2.7</v>
      </c>
      <c r="I36" s="59">
        <v>12</v>
      </c>
      <c r="J36" s="59">
        <v>0.9</v>
      </c>
      <c r="K36" s="59"/>
      <c r="L36" s="59">
        <v>31</v>
      </c>
      <c r="M36" s="59">
        <v>63</v>
      </c>
      <c r="N36" s="59">
        <v>17</v>
      </c>
      <c r="O36" s="59">
        <v>7.1</v>
      </c>
      <c r="P36" s="59">
        <v>320</v>
      </c>
      <c r="Q36" s="59">
        <v>27</v>
      </c>
      <c r="R36" s="59">
        <v>193</v>
      </c>
      <c r="S36" s="59">
        <v>5.3</v>
      </c>
      <c r="T36" s="59">
        <v>4.7</v>
      </c>
      <c r="U36" s="59"/>
      <c r="V36" s="59">
        <v>1</v>
      </c>
      <c r="W36" s="59">
        <v>4</v>
      </c>
      <c r="X36" s="59">
        <v>0.7</v>
      </c>
      <c r="Y36" s="59">
        <v>3.9</v>
      </c>
      <c r="Z36" s="59">
        <v>21</v>
      </c>
      <c r="AA36" s="59">
        <v>0.83</v>
      </c>
      <c r="AB36" s="59">
        <v>2.2999999999999998</v>
      </c>
      <c r="AC36" s="59">
        <v>0.3</v>
      </c>
      <c r="AD36" s="59">
        <v>2</v>
      </c>
      <c r="AE36" s="59">
        <v>0.31</v>
      </c>
      <c r="AF36" s="59">
        <v>0.9</v>
      </c>
      <c r="AG36" s="59">
        <v>17.3</v>
      </c>
      <c r="AH36" s="59">
        <v>92</v>
      </c>
      <c r="AI36" s="59">
        <v>47</v>
      </c>
      <c r="AJ36" s="59">
        <v>97</v>
      </c>
      <c r="AK36" s="59">
        <v>1.9</v>
      </c>
      <c r="AL36" s="59">
        <v>14</v>
      </c>
      <c r="AM36" s="59">
        <v>67</v>
      </c>
      <c r="AN36" s="59">
        <v>28</v>
      </c>
      <c r="AO36" s="59">
        <v>17.5</v>
      </c>
      <c r="AP36" s="59"/>
      <c r="AQ36" s="59">
        <v>1.1000000000000001</v>
      </c>
      <c r="AR36" s="59"/>
      <c r="AS36" s="59">
        <v>2.1</v>
      </c>
      <c r="AT36" s="59">
        <v>2.1</v>
      </c>
      <c r="AU36" s="59">
        <v>0.4</v>
      </c>
      <c r="AV36" s="59">
        <v>21</v>
      </c>
      <c r="AW36" s="59">
        <v>1.4</v>
      </c>
      <c r="AX36" s="59">
        <v>4.8</v>
      </c>
      <c r="AY36" s="59">
        <v>0.09</v>
      </c>
      <c r="AZ36" s="59">
        <v>1.6</v>
      </c>
      <c r="BA36" s="59">
        <v>0.34</v>
      </c>
      <c r="BB36" s="59">
        <v>0.52</v>
      </c>
      <c r="BC36" s="59">
        <v>53</v>
      </c>
      <c r="BD36" s="59">
        <v>0.09</v>
      </c>
      <c r="BE36" s="59">
        <v>5.6000000000000001E-2</v>
      </c>
      <c r="BF36" s="59">
        <v>1.4</v>
      </c>
      <c r="BG36" s="59">
        <v>0.19800000000000001</v>
      </c>
      <c r="BH36" s="59">
        <v>3.1E-2</v>
      </c>
      <c r="BI36" s="59">
        <v>2.1999999999999999E-2</v>
      </c>
      <c r="BJ36" s="59">
        <v>0.5</v>
      </c>
      <c r="BK36" s="59">
        <v>1.5</v>
      </c>
      <c r="BL36" s="59">
        <v>0.05</v>
      </c>
      <c r="BM36" s="59">
        <v>0.16</v>
      </c>
      <c r="BN36" s="59">
        <v>17</v>
      </c>
      <c r="BO36" s="59">
        <v>83</v>
      </c>
      <c r="BP36" s="59">
        <v>557</v>
      </c>
      <c r="BQ36" s="59">
        <v>621</v>
      </c>
      <c r="BR36" s="59">
        <v>370</v>
      </c>
      <c r="BS36" s="324">
        <v>66.62</v>
      </c>
      <c r="BT36" s="324">
        <v>0.64</v>
      </c>
      <c r="BU36" s="324">
        <v>15.4</v>
      </c>
      <c r="BV36" s="324">
        <v>5.04</v>
      </c>
      <c r="BW36" s="324">
        <v>0.1</v>
      </c>
      <c r="BX36" s="324">
        <v>2.48</v>
      </c>
      <c r="BY36" s="324">
        <v>3.59</v>
      </c>
      <c r="BZ36" s="324">
        <v>3.27</v>
      </c>
      <c r="CA36" s="324">
        <v>2.8</v>
      </c>
      <c r="CB36" s="324">
        <v>0.15</v>
      </c>
      <c r="CC36" s="324"/>
      <c r="CD36" s="324">
        <v>46.7</v>
      </c>
    </row>
    <row r="37" spans="1:82" ht="15.75" x14ac:dyDescent="0.25">
      <c r="A37" s="325" t="s">
        <v>636</v>
      </c>
      <c r="B37" s="333" t="s">
        <v>637</v>
      </c>
      <c r="C37" s="52"/>
      <c r="D37" s="58">
        <v>2.2000000000000002</v>
      </c>
      <c r="E37" s="59">
        <v>65</v>
      </c>
      <c r="F37" s="59">
        <v>532</v>
      </c>
      <c r="G37" s="59">
        <v>6.5</v>
      </c>
      <c r="H37" s="59">
        <v>1.3</v>
      </c>
      <c r="I37" s="59">
        <v>10</v>
      </c>
      <c r="J37" s="59">
        <v>0.6</v>
      </c>
      <c r="K37" s="59"/>
      <c r="L37" s="59">
        <v>24</v>
      </c>
      <c r="M37" s="59">
        <v>53</v>
      </c>
      <c r="N37" s="59">
        <v>15.2</v>
      </c>
      <c r="O37" s="59">
        <v>5.8</v>
      </c>
      <c r="P37" s="59">
        <v>282</v>
      </c>
      <c r="Q37" s="59">
        <v>25</v>
      </c>
      <c r="R37" s="59">
        <v>149</v>
      </c>
      <c r="S37" s="59">
        <v>4.4000000000000004</v>
      </c>
      <c r="T37" s="59">
        <v>4.5999999999999996</v>
      </c>
      <c r="U37" s="59"/>
      <c r="V37" s="59">
        <v>1.4</v>
      </c>
      <c r="W37" s="59">
        <v>4</v>
      </c>
      <c r="X37" s="59">
        <v>0.7</v>
      </c>
      <c r="Y37" s="59">
        <v>3.8</v>
      </c>
      <c r="Z37" s="59">
        <v>20</v>
      </c>
      <c r="AA37" s="59">
        <v>0.82</v>
      </c>
      <c r="AB37" s="59">
        <v>2.2999999999999998</v>
      </c>
      <c r="AC37" s="59">
        <v>0.32</v>
      </c>
      <c r="AD37" s="59">
        <v>2.2000000000000002</v>
      </c>
      <c r="AE37" s="59">
        <v>0.4</v>
      </c>
      <c r="AF37" s="59">
        <v>0.27</v>
      </c>
      <c r="AG37" s="59">
        <v>22</v>
      </c>
      <c r="AH37" s="59">
        <v>76</v>
      </c>
      <c r="AI37" s="59">
        <v>33.5</v>
      </c>
      <c r="AJ37" s="59">
        <v>107</v>
      </c>
      <c r="AK37" s="59">
        <v>0.6</v>
      </c>
      <c r="AL37" s="59">
        <v>19</v>
      </c>
      <c r="AM37" s="59">
        <v>69.5</v>
      </c>
      <c r="AN37" s="59">
        <v>26</v>
      </c>
      <c r="AO37" s="59">
        <v>17.5</v>
      </c>
      <c r="AP37" s="59"/>
      <c r="AQ37" s="59">
        <v>0.6</v>
      </c>
      <c r="AR37" s="59"/>
      <c r="AS37" s="59">
        <v>2.29</v>
      </c>
      <c r="AT37" s="59">
        <v>1.3</v>
      </c>
      <c r="AU37" s="59">
        <v>0.28000000000000003</v>
      </c>
      <c r="AV37" s="59">
        <v>12</v>
      </c>
      <c r="AW37" s="59">
        <v>1.1299999999999999</v>
      </c>
      <c r="AX37" s="59">
        <v>3.1</v>
      </c>
      <c r="AY37" s="59">
        <v>6.4000000000000001E-2</v>
      </c>
      <c r="AZ37" s="59"/>
      <c r="BA37" s="59"/>
      <c r="BB37" s="59">
        <v>0.76</v>
      </c>
      <c r="BC37" s="59">
        <v>48</v>
      </c>
      <c r="BD37" s="59">
        <v>6.0999999999999999E-2</v>
      </c>
      <c r="BE37" s="59"/>
      <c r="BF37" s="59"/>
      <c r="BG37" s="59"/>
      <c r="BH37" s="59"/>
      <c r="BI37" s="59"/>
      <c r="BJ37" s="59">
        <v>0.85</v>
      </c>
      <c r="BK37" s="59">
        <v>0.66</v>
      </c>
      <c r="BL37" s="59">
        <v>7.9000000000000008E-3</v>
      </c>
      <c r="BM37" s="59">
        <v>0.17</v>
      </c>
      <c r="BN37" s="59">
        <v>17</v>
      </c>
      <c r="BO37" s="59"/>
      <c r="BP37" s="59">
        <v>524</v>
      </c>
      <c r="BQ37" s="59">
        <v>20</v>
      </c>
      <c r="BR37" s="59">
        <v>182</v>
      </c>
      <c r="BS37" s="324">
        <v>63.5</v>
      </c>
      <c r="BT37" s="324">
        <v>0.69</v>
      </c>
      <c r="BU37" s="324">
        <v>15</v>
      </c>
      <c r="BV37" s="324">
        <v>6.02</v>
      </c>
      <c r="BW37" s="324">
        <v>0.1</v>
      </c>
      <c r="BX37" s="324">
        <v>3.59</v>
      </c>
      <c r="BY37" s="324">
        <v>5.25</v>
      </c>
      <c r="BZ37" s="324">
        <v>3.39</v>
      </c>
      <c r="CA37" s="324">
        <v>2.2999999999999998</v>
      </c>
      <c r="CB37" s="324">
        <v>0.15</v>
      </c>
      <c r="CC37" s="324"/>
      <c r="CD37" s="324">
        <v>51.5</v>
      </c>
    </row>
    <row r="38" spans="1:82" ht="15.75" x14ac:dyDescent="0.25">
      <c r="A38" s="325" t="s">
        <v>638</v>
      </c>
      <c r="B38" s="333" t="s">
        <v>639</v>
      </c>
      <c r="C38" s="52"/>
      <c r="D38" s="58">
        <v>0.3</v>
      </c>
      <c r="E38" s="59">
        <v>11</v>
      </c>
      <c r="F38" s="59">
        <v>259</v>
      </c>
      <c r="G38" s="59">
        <v>1.2</v>
      </c>
      <c r="H38" s="59">
        <v>0.2</v>
      </c>
      <c r="I38" s="59">
        <v>5</v>
      </c>
      <c r="J38" s="59">
        <v>0.6</v>
      </c>
      <c r="K38" s="59"/>
      <c r="L38" s="59">
        <v>8</v>
      </c>
      <c r="M38" s="59">
        <v>20</v>
      </c>
      <c r="N38" s="59">
        <v>4</v>
      </c>
      <c r="O38" s="59"/>
      <c r="P38" s="59">
        <v>348</v>
      </c>
      <c r="Q38" s="59">
        <v>11</v>
      </c>
      <c r="R38" s="59">
        <v>68</v>
      </c>
      <c r="S38" s="59">
        <v>1.9</v>
      </c>
      <c r="T38" s="59">
        <v>2.8</v>
      </c>
      <c r="U38" s="59"/>
      <c r="V38" s="59">
        <v>1.1000000000000001</v>
      </c>
      <c r="W38" s="59">
        <v>3.1</v>
      </c>
      <c r="X38" s="59">
        <v>0.48</v>
      </c>
      <c r="Y38" s="59">
        <v>3.1</v>
      </c>
      <c r="Z38" s="59">
        <v>16</v>
      </c>
      <c r="AA38" s="59">
        <v>0.68</v>
      </c>
      <c r="AB38" s="59">
        <v>1.9</v>
      </c>
      <c r="AC38" s="59"/>
      <c r="AD38" s="59">
        <v>1.5</v>
      </c>
      <c r="AE38" s="59">
        <v>0.25</v>
      </c>
      <c r="AF38" s="59"/>
      <c r="AG38" s="59">
        <v>38</v>
      </c>
      <c r="AH38" s="59">
        <v>215</v>
      </c>
      <c r="AI38" s="59">
        <v>88</v>
      </c>
      <c r="AJ38" s="59">
        <v>196</v>
      </c>
      <c r="AK38" s="59"/>
      <c r="AL38" s="59">
        <v>31</v>
      </c>
      <c r="AM38" s="59">
        <v>78</v>
      </c>
      <c r="AN38" s="59">
        <v>26</v>
      </c>
      <c r="AO38" s="59">
        <v>13</v>
      </c>
      <c r="AP38" s="59"/>
      <c r="AQ38" s="59"/>
      <c r="AR38" s="59"/>
      <c r="AS38" s="59"/>
      <c r="AT38" s="59"/>
      <c r="AU38" s="59"/>
      <c r="AV38" s="59">
        <v>6</v>
      </c>
      <c r="AW38" s="59"/>
      <c r="AX38" s="59"/>
      <c r="AY38" s="59"/>
      <c r="AZ38" s="59"/>
      <c r="BA38" s="59"/>
      <c r="BB38" s="59"/>
      <c r="BC38" s="59"/>
      <c r="BD38" s="59"/>
      <c r="BE38" s="59"/>
      <c r="BF38" s="59"/>
      <c r="BG38" s="59"/>
      <c r="BH38" s="59"/>
      <c r="BI38" s="59"/>
      <c r="BJ38" s="59"/>
      <c r="BK38" s="59"/>
      <c r="BL38" s="59"/>
      <c r="BM38" s="59"/>
      <c r="BN38" s="59"/>
      <c r="BO38" s="59"/>
      <c r="BP38" s="59"/>
      <c r="BQ38" s="59"/>
      <c r="BR38" s="59"/>
      <c r="BS38" s="324">
        <v>53.4</v>
      </c>
      <c r="BT38" s="324">
        <v>0.82</v>
      </c>
      <c r="BU38" s="324">
        <v>16.899999999999999</v>
      </c>
      <c r="BV38" s="324">
        <v>8.57</v>
      </c>
      <c r="BW38" s="324">
        <v>0.1</v>
      </c>
      <c r="BX38" s="324">
        <v>7.24</v>
      </c>
      <c r="BY38" s="324">
        <v>9.59</v>
      </c>
      <c r="BZ38" s="324">
        <v>2.65</v>
      </c>
      <c r="CA38" s="324">
        <v>0.61</v>
      </c>
      <c r="CB38" s="324">
        <v>0.1</v>
      </c>
      <c r="CC38" s="324"/>
      <c r="CD38" s="324">
        <v>60.1</v>
      </c>
    </row>
    <row r="39" spans="1:82" ht="15.75" x14ac:dyDescent="0.25">
      <c r="A39" s="325" t="s">
        <v>640</v>
      </c>
      <c r="B39" s="333" t="s">
        <v>641</v>
      </c>
      <c r="C39" s="52"/>
      <c r="D39" s="58">
        <v>2</v>
      </c>
      <c r="E39" s="59">
        <v>49</v>
      </c>
      <c r="F39" s="59">
        <v>456</v>
      </c>
      <c r="G39" s="59">
        <v>5.6</v>
      </c>
      <c r="H39" s="59">
        <v>1.3</v>
      </c>
      <c r="I39" s="59">
        <v>8</v>
      </c>
      <c r="J39" s="59">
        <v>0.7</v>
      </c>
      <c r="K39" s="59"/>
      <c r="L39" s="59">
        <v>20</v>
      </c>
      <c r="M39" s="59">
        <v>43</v>
      </c>
      <c r="N39" s="59">
        <v>11</v>
      </c>
      <c r="O39" s="59">
        <v>4.9000000000000004</v>
      </c>
      <c r="P39" s="59">
        <v>320</v>
      </c>
      <c r="Q39" s="59">
        <v>20</v>
      </c>
      <c r="R39" s="59">
        <v>132</v>
      </c>
      <c r="S39" s="59">
        <v>3.7</v>
      </c>
      <c r="T39" s="59">
        <v>3.9</v>
      </c>
      <c r="U39" s="59"/>
      <c r="V39" s="59">
        <v>1.1000000000000001</v>
      </c>
      <c r="W39" s="59">
        <v>3.7</v>
      </c>
      <c r="X39" s="59">
        <v>0.6</v>
      </c>
      <c r="Y39" s="59">
        <v>3.6</v>
      </c>
      <c r="Z39" s="59">
        <v>19</v>
      </c>
      <c r="AA39" s="59">
        <v>0.77</v>
      </c>
      <c r="AB39" s="59">
        <v>2.1</v>
      </c>
      <c r="AC39" s="59">
        <v>0.28000000000000003</v>
      </c>
      <c r="AD39" s="59">
        <v>1.9</v>
      </c>
      <c r="AE39" s="59">
        <v>0.3</v>
      </c>
      <c r="AF39" s="59">
        <v>0.5</v>
      </c>
      <c r="AG39" s="59">
        <v>26.6</v>
      </c>
      <c r="AH39" s="59">
        <v>135</v>
      </c>
      <c r="AI39" s="59">
        <v>59</v>
      </c>
      <c r="AJ39" s="59">
        <v>138</v>
      </c>
      <c r="AK39" s="59">
        <v>1</v>
      </c>
      <c r="AL39" s="59">
        <v>21.9</v>
      </c>
      <c r="AM39" s="59">
        <v>72</v>
      </c>
      <c r="AN39" s="59">
        <v>27</v>
      </c>
      <c r="AO39" s="59">
        <v>16</v>
      </c>
      <c r="AP39" s="59"/>
      <c r="AQ39" s="59">
        <v>0.8</v>
      </c>
      <c r="AR39" s="59"/>
      <c r="AS39" s="59">
        <v>1.9</v>
      </c>
      <c r="AT39" s="59">
        <v>1.7</v>
      </c>
      <c r="AU39" s="59">
        <v>0.2</v>
      </c>
      <c r="AV39" s="59">
        <v>16</v>
      </c>
      <c r="AW39" s="59">
        <v>1.3</v>
      </c>
      <c r="AX39" s="59">
        <v>2.5</v>
      </c>
      <c r="AY39" s="59">
        <v>0.13</v>
      </c>
      <c r="AZ39" s="59">
        <v>0.88</v>
      </c>
      <c r="BA39" s="59">
        <v>5.9999999999999995E-4</v>
      </c>
      <c r="BB39" s="59">
        <v>1.5E-3</v>
      </c>
      <c r="BC39" s="59">
        <v>5.6000000000000001E-2</v>
      </c>
      <c r="BD39" s="59">
        <v>0.08</v>
      </c>
      <c r="BE39" s="59">
        <v>5.1999999999999998E-2</v>
      </c>
      <c r="BF39" s="59">
        <v>0.7</v>
      </c>
      <c r="BG39" s="59">
        <v>1.8799999999999999E-4</v>
      </c>
      <c r="BH39" s="59">
        <v>4.1E-5</v>
      </c>
      <c r="BI39" s="59">
        <v>3.6999999999999998E-5</v>
      </c>
      <c r="BJ39" s="59">
        <v>1.5E-3</v>
      </c>
      <c r="BK39" s="59">
        <v>1.2999999999999999E-3</v>
      </c>
      <c r="BL39" s="59">
        <v>0.03</v>
      </c>
      <c r="BM39" s="59">
        <v>0.18</v>
      </c>
      <c r="BN39" s="59">
        <v>11</v>
      </c>
      <c r="BO39" s="59">
        <v>56</v>
      </c>
      <c r="BP39" s="59">
        <v>553</v>
      </c>
      <c r="BQ39" s="59">
        <v>404</v>
      </c>
      <c r="BR39" s="59">
        <v>244</v>
      </c>
      <c r="BS39" s="324">
        <v>60.6</v>
      </c>
      <c r="BT39" s="324">
        <v>0.7</v>
      </c>
      <c r="BU39" s="324">
        <v>15.9</v>
      </c>
      <c r="BV39" s="324">
        <v>6.7</v>
      </c>
      <c r="BW39" s="324">
        <v>0.1</v>
      </c>
      <c r="BX39" s="324">
        <v>4.7</v>
      </c>
      <c r="BY39" s="324">
        <v>6.4</v>
      </c>
      <c r="BZ39" s="324">
        <v>3.1</v>
      </c>
      <c r="CA39" s="324">
        <v>1.8</v>
      </c>
      <c r="CB39" s="324">
        <v>0.1</v>
      </c>
      <c r="CC39" s="324"/>
      <c r="CD39" s="324">
        <v>55.3</v>
      </c>
    </row>
    <row r="40" spans="1:82" ht="15.75" x14ac:dyDescent="0.25">
      <c r="A40" s="326"/>
      <c r="B40" s="334"/>
      <c r="C40" s="52"/>
      <c r="D40" s="58"/>
      <c r="E40" s="59"/>
      <c r="F40" s="59"/>
      <c r="G40" s="59"/>
      <c r="H40" s="59"/>
      <c r="I40" s="59"/>
      <c r="J40" s="59"/>
      <c r="K40" s="59"/>
      <c r="L40" s="59"/>
      <c r="M40" s="59"/>
      <c r="N40" s="59"/>
      <c r="O40" s="59"/>
      <c r="P40" s="59"/>
      <c r="Q40" s="59"/>
      <c r="R40" s="59"/>
      <c r="S40" s="59"/>
      <c r="T40" s="59"/>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c r="BS40" s="324"/>
      <c r="BT40" s="324"/>
      <c r="BU40" s="324"/>
      <c r="BV40" s="324"/>
      <c r="BW40" s="324"/>
      <c r="BX40" s="324"/>
      <c r="BY40" s="324"/>
      <c r="BZ40" s="324"/>
      <c r="CA40" s="324"/>
      <c r="CB40" s="324"/>
      <c r="CC40" s="324"/>
      <c r="CD40" s="324"/>
    </row>
    <row r="41" spans="1:82" ht="15.75" x14ac:dyDescent="0.25">
      <c r="A41" s="326"/>
      <c r="B41" s="334"/>
      <c r="C41" s="52"/>
      <c r="D41" s="58"/>
      <c r="E41" s="59"/>
      <c r="F41" s="59"/>
      <c r="G41" s="59"/>
      <c r="H41" s="59"/>
      <c r="I41" s="59"/>
      <c r="J41" s="59"/>
      <c r="K41" s="59"/>
      <c r="L41" s="59"/>
      <c r="M41" s="59"/>
      <c r="N41" s="59"/>
      <c r="O41" s="59"/>
      <c r="P41" s="59"/>
      <c r="Q41" s="59"/>
      <c r="R41" s="59"/>
      <c r="S41" s="59"/>
      <c r="T41" s="59"/>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c r="BM41" s="59"/>
      <c r="BN41" s="59"/>
      <c r="BO41" s="59"/>
      <c r="BP41" s="59"/>
      <c r="BQ41" s="59"/>
      <c r="BR41" s="59"/>
      <c r="BS41" s="324"/>
      <c r="BT41" s="324"/>
      <c r="BU41" s="324"/>
      <c r="BV41" s="324"/>
      <c r="BW41" s="324"/>
      <c r="BX41" s="324"/>
      <c r="BY41" s="324"/>
      <c r="BZ41" s="324"/>
      <c r="CA41" s="324"/>
      <c r="CB41" s="324"/>
      <c r="CC41" s="324"/>
      <c r="CD41" s="324"/>
    </row>
    <row r="42" spans="1:82" ht="15.75" x14ac:dyDescent="0.25">
      <c r="A42" s="326"/>
      <c r="B42" s="334"/>
      <c r="C42" s="52"/>
      <c r="D42" s="58"/>
      <c r="E42" s="59"/>
      <c r="F42" s="59"/>
      <c r="G42" s="59"/>
      <c r="H42" s="59"/>
      <c r="I42" s="59"/>
      <c r="J42" s="59"/>
      <c r="K42" s="59"/>
      <c r="L42" s="59"/>
      <c r="M42" s="59"/>
      <c r="N42" s="59"/>
      <c r="O42" s="59"/>
      <c r="P42" s="59"/>
      <c r="Q42" s="59"/>
      <c r="R42" s="59"/>
      <c r="S42" s="59"/>
      <c r="T42" s="59"/>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c r="BS42" s="324"/>
      <c r="BT42" s="324"/>
      <c r="BU42" s="324"/>
      <c r="BV42" s="324"/>
      <c r="BW42" s="324"/>
      <c r="BX42" s="324"/>
      <c r="BY42" s="324"/>
      <c r="BZ42" s="324"/>
      <c r="CA42" s="324"/>
      <c r="CB42" s="324"/>
      <c r="CC42" s="324"/>
      <c r="CD42" s="324"/>
    </row>
    <row r="43" spans="1:82" ht="15.75" x14ac:dyDescent="0.25">
      <c r="A43" s="326"/>
      <c r="B43" s="334"/>
      <c r="C43" s="52"/>
      <c r="D43" s="58"/>
      <c r="E43" s="59"/>
      <c r="F43" s="59"/>
      <c r="G43" s="59"/>
      <c r="H43" s="59"/>
      <c r="I43" s="59"/>
      <c r="J43" s="59"/>
      <c r="K43" s="59"/>
      <c r="L43" s="59"/>
      <c r="M43" s="59"/>
      <c r="N43" s="59"/>
      <c r="O43" s="59"/>
      <c r="P43" s="59"/>
      <c r="Q43" s="59"/>
      <c r="R43" s="59"/>
      <c r="S43" s="59"/>
      <c r="T43" s="59"/>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c r="BS43" s="324"/>
      <c r="BT43" s="324"/>
      <c r="BU43" s="324"/>
      <c r="BV43" s="324"/>
      <c r="BW43" s="324"/>
      <c r="BX43" s="324"/>
      <c r="BY43" s="324"/>
      <c r="BZ43" s="324"/>
      <c r="CA43" s="324"/>
      <c r="CB43" s="324"/>
      <c r="CC43" s="324"/>
      <c r="CD43" s="324"/>
    </row>
    <row r="44" spans="1:82" ht="15.75" x14ac:dyDescent="0.25">
      <c r="A44" s="326"/>
      <c r="B44" s="334"/>
      <c r="C44" s="52"/>
      <c r="D44" s="58"/>
      <c r="E44" s="59"/>
      <c r="F44" s="59"/>
      <c r="G44" s="59"/>
      <c r="H44" s="59"/>
      <c r="I44" s="59"/>
      <c r="J44" s="59"/>
      <c r="K44" s="59"/>
      <c r="L44" s="59"/>
      <c r="M44" s="59"/>
      <c r="N44" s="59"/>
      <c r="O44" s="59"/>
      <c r="P44" s="59"/>
      <c r="Q44" s="59"/>
      <c r="R44" s="59"/>
      <c r="S44" s="59"/>
      <c r="T44" s="59"/>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c r="BS44" s="324"/>
      <c r="BT44" s="324"/>
      <c r="BU44" s="324"/>
      <c r="BV44" s="324"/>
      <c r="BW44" s="324"/>
      <c r="BX44" s="324"/>
      <c r="BY44" s="324"/>
      <c r="BZ44" s="324"/>
      <c r="CA44" s="324"/>
      <c r="CB44" s="324"/>
      <c r="CC44" s="324"/>
      <c r="CD44" s="324"/>
    </row>
    <row r="45" spans="1:82" ht="15.75" x14ac:dyDescent="0.25">
      <c r="A45" s="326"/>
      <c r="B45" s="334"/>
      <c r="C45" s="52"/>
      <c r="D45" s="58"/>
      <c r="E45" s="59"/>
      <c r="F45" s="59"/>
      <c r="G45" s="59"/>
      <c r="H45" s="59"/>
      <c r="I45" s="59"/>
      <c r="J45" s="59"/>
      <c r="K45" s="59"/>
      <c r="L45" s="59"/>
      <c r="M45" s="59"/>
      <c r="N45" s="59"/>
      <c r="O45" s="59"/>
      <c r="P45" s="59"/>
      <c r="Q45" s="59"/>
      <c r="R45" s="59"/>
      <c r="S45" s="59"/>
      <c r="T45" s="59"/>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c r="BS45" s="324"/>
      <c r="BT45" s="324"/>
      <c r="BU45" s="324"/>
      <c r="BV45" s="324"/>
      <c r="BW45" s="324"/>
      <c r="BX45" s="324"/>
      <c r="BY45" s="324"/>
      <c r="BZ45" s="324"/>
      <c r="CA45" s="324"/>
      <c r="CB45" s="324"/>
      <c r="CC45" s="324"/>
      <c r="CD45" s="324"/>
    </row>
    <row r="46" spans="1:82" ht="15.75" x14ac:dyDescent="0.25">
      <c r="A46" s="326"/>
      <c r="B46" s="334"/>
      <c r="C46" s="52"/>
      <c r="D46" s="58"/>
      <c r="E46" s="59"/>
      <c r="F46" s="59"/>
      <c r="G46" s="59"/>
      <c r="H46" s="59"/>
      <c r="I46" s="59"/>
      <c r="J46" s="59"/>
      <c r="K46" s="59"/>
      <c r="L46" s="59"/>
      <c r="M46" s="59"/>
      <c r="N46" s="59"/>
      <c r="O46" s="59"/>
      <c r="P46" s="59"/>
      <c r="Q46" s="59"/>
      <c r="R46" s="59"/>
      <c r="S46" s="59"/>
      <c r="T46" s="59"/>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c r="BS46" s="324"/>
      <c r="BT46" s="324"/>
      <c r="BU46" s="324"/>
      <c r="BV46" s="324"/>
      <c r="BW46" s="324"/>
      <c r="BX46" s="324"/>
      <c r="BY46" s="324"/>
      <c r="BZ46" s="324"/>
      <c r="CA46" s="324"/>
      <c r="CB46" s="324"/>
      <c r="CC46" s="324"/>
      <c r="CD46" s="324"/>
    </row>
    <row r="47" spans="1:82" ht="15.75" x14ac:dyDescent="0.25">
      <c r="A47" s="326"/>
      <c r="B47" s="334"/>
      <c r="C47" s="52"/>
      <c r="D47" s="58"/>
      <c r="E47" s="59"/>
      <c r="F47" s="59"/>
      <c r="G47" s="59"/>
      <c r="H47" s="59"/>
      <c r="I47" s="59"/>
      <c r="J47" s="59"/>
      <c r="K47" s="59"/>
      <c r="L47" s="59"/>
      <c r="M47" s="59"/>
      <c r="N47" s="59"/>
      <c r="O47" s="59"/>
      <c r="P47" s="59"/>
      <c r="Q47" s="59"/>
      <c r="R47" s="59"/>
      <c r="S47" s="59"/>
      <c r="T47" s="59"/>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c r="BS47" s="324"/>
      <c r="BT47" s="324"/>
      <c r="BU47" s="324"/>
      <c r="BV47" s="324"/>
      <c r="BW47" s="324"/>
      <c r="BX47" s="324"/>
      <c r="BY47" s="324"/>
      <c r="BZ47" s="324"/>
      <c r="CA47" s="324"/>
      <c r="CB47" s="324"/>
      <c r="CC47" s="324"/>
      <c r="CD47" s="324"/>
    </row>
    <row r="48" spans="1:82" ht="15.75" x14ac:dyDescent="0.25">
      <c r="A48" s="17"/>
      <c r="B48" s="334"/>
      <c r="C48" s="52"/>
      <c r="D48" s="58"/>
      <c r="E48" s="59"/>
      <c r="F48" s="59"/>
      <c r="G48" s="59"/>
      <c r="H48" s="59"/>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324"/>
      <c r="BT48" s="324"/>
      <c r="BU48" s="324"/>
      <c r="BV48" s="324"/>
      <c r="BW48" s="324"/>
      <c r="BX48" s="324"/>
      <c r="BY48" s="324"/>
      <c r="BZ48" s="324"/>
      <c r="CA48" s="324"/>
      <c r="CB48" s="324"/>
      <c r="CC48" s="324"/>
      <c r="CD48" s="324"/>
    </row>
    <row r="49" spans="1:82" ht="15.75" x14ac:dyDescent="0.25">
      <c r="A49" s="17"/>
      <c r="B49" s="334"/>
      <c r="C49" s="52"/>
      <c r="D49" s="58"/>
      <c r="E49" s="59"/>
      <c r="F49" s="59"/>
      <c r="G49" s="59"/>
      <c r="H49" s="59"/>
      <c r="I49" s="59"/>
      <c r="J49" s="59"/>
      <c r="K49" s="59"/>
      <c r="L49" s="59"/>
      <c r="M49" s="59"/>
      <c r="N49" s="59"/>
      <c r="O49" s="59"/>
      <c r="P49" s="59"/>
      <c r="Q49" s="59"/>
      <c r="R49" s="59"/>
      <c r="S49" s="59"/>
      <c r="T49" s="59"/>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c r="BS49" s="324"/>
      <c r="BT49" s="324"/>
      <c r="BU49" s="324"/>
      <c r="BV49" s="324"/>
      <c r="BW49" s="324"/>
      <c r="BX49" s="324"/>
      <c r="BY49" s="324"/>
      <c r="BZ49" s="324"/>
      <c r="CA49" s="324"/>
      <c r="CB49" s="324"/>
      <c r="CC49" s="324"/>
      <c r="CD49" s="324"/>
    </row>
    <row r="50" spans="1:82" ht="15.75" x14ac:dyDescent="0.25">
      <c r="A50" s="17"/>
      <c r="B50" s="334"/>
      <c r="C50" s="52"/>
      <c r="D50" s="58"/>
      <c r="E50" s="59"/>
      <c r="F50" s="59"/>
      <c r="G50" s="59"/>
      <c r="H50" s="59"/>
      <c r="I50" s="59"/>
      <c r="J50" s="59"/>
      <c r="K50" s="59"/>
      <c r="L50" s="59"/>
      <c r="M50" s="59"/>
      <c r="N50" s="59"/>
      <c r="O50" s="59"/>
      <c r="P50" s="59"/>
      <c r="Q50" s="59"/>
      <c r="R50" s="59"/>
      <c r="S50" s="59"/>
      <c r="T50" s="59"/>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c r="BS50" s="324"/>
      <c r="BT50" s="324"/>
      <c r="BU50" s="324"/>
      <c r="BV50" s="324"/>
      <c r="BW50" s="324"/>
      <c r="BX50" s="324"/>
      <c r="BY50" s="324"/>
      <c r="BZ50" s="324"/>
      <c r="CA50" s="324"/>
      <c r="CB50" s="324"/>
      <c r="CC50" s="324"/>
      <c r="CD50" s="324"/>
    </row>
    <row r="51" spans="1:82" x14ac:dyDescent="0.25">
      <c r="BS51" s="5"/>
      <c r="BT51" s="5"/>
      <c r="BU51" s="5"/>
      <c r="BV51" s="5"/>
      <c r="BW51" s="5"/>
      <c r="BX51" s="5"/>
      <c r="BY51" s="5"/>
      <c r="BZ51" s="5"/>
      <c r="CA51" s="5"/>
      <c r="CB51" s="5"/>
      <c r="CC51" s="5"/>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S186"/>
  <sheetViews>
    <sheetView workbookViewId="0">
      <selection activeCell="H15" sqref="H15"/>
    </sheetView>
  </sheetViews>
  <sheetFormatPr baseColWidth="10" defaultColWidth="11.42578125" defaultRowHeight="15" x14ac:dyDescent="0.25"/>
  <cols>
    <col min="1" max="1" width="17.85546875" style="2" customWidth="1"/>
    <col min="2" max="5" width="11.42578125" style="2"/>
    <col min="6" max="6" width="17.42578125" style="2" customWidth="1"/>
    <col min="7" max="7" width="11.42578125" style="2"/>
    <col min="8" max="8" width="35.42578125" style="2" customWidth="1"/>
    <col min="9" max="10" width="11.42578125" style="2"/>
    <col min="11" max="11" width="11.42578125" style="11"/>
    <col min="12" max="12" width="11.42578125" style="20"/>
    <col min="13" max="17" width="11.42578125" style="2"/>
    <col min="18" max="18" width="13.85546875" style="2" customWidth="1"/>
    <col min="19" max="22" width="11.42578125" style="2"/>
    <col min="23" max="23" width="20" style="11" customWidth="1"/>
    <col min="24" max="24" width="11.42578125" style="2"/>
    <col min="25" max="25" width="11.42578125" style="11"/>
    <col min="26" max="26" width="16.42578125" style="11" customWidth="1"/>
    <col min="27" max="27" width="11.42578125" style="2"/>
    <col min="28" max="28" width="23.140625" style="2" customWidth="1"/>
    <col min="29" max="34" width="11.42578125" style="2"/>
    <col min="35" max="35" width="15.85546875" style="125" customWidth="1"/>
    <col min="36" max="38" width="11.42578125" style="2"/>
    <col min="39" max="39" width="14.42578125" style="2" customWidth="1"/>
    <col min="40" max="42" width="11.42578125" style="2"/>
    <col min="43" max="43" width="22.85546875" style="2" customWidth="1"/>
    <col min="44" max="44" width="22.85546875" style="11" customWidth="1"/>
    <col min="45" max="16384" width="11.42578125" style="2"/>
  </cols>
  <sheetData>
    <row r="1" spans="1:45" s="8" customFormat="1" ht="60.75" customHeight="1" x14ac:dyDescent="0.3">
      <c r="A1" s="9" t="s">
        <v>36</v>
      </c>
      <c r="C1" s="9" t="s">
        <v>37</v>
      </c>
      <c r="F1" s="9" t="s">
        <v>0</v>
      </c>
      <c r="H1" s="9" t="s">
        <v>33</v>
      </c>
      <c r="K1" s="19"/>
      <c r="L1" s="13" t="s">
        <v>5</v>
      </c>
      <c r="N1" s="9" t="s">
        <v>20</v>
      </c>
      <c r="P1" s="8" t="s">
        <v>46</v>
      </c>
      <c r="Q1" s="8" t="s">
        <v>47</v>
      </c>
      <c r="R1" s="9" t="s">
        <v>31</v>
      </c>
      <c r="T1" s="8" t="s">
        <v>46</v>
      </c>
      <c r="U1" s="8" t="s">
        <v>47</v>
      </c>
      <c r="W1" s="50" t="s">
        <v>71</v>
      </c>
      <c r="X1" s="49" t="s">
        <v>68</v>
      </c>
      <c r="Y1" s="49" t="s">
        <v>69</v>
      </c>
      <c r="Z1" s="49" t="s">
        <v>96</v>
      </c>
      <c r="AB1" s="50" t="s">
        <v>138</v>
      </c>
      <c r="AC1" s="8" t="s">
        <v>68</v>
      </c>
      <c r="AD1" s="8" t="s">
        <v>69</v>
      </c>
      <c r="AE1" s="49" t="s">
        <v>96</v>
      </c>
      <c r="AG1" s="305" t="s">
        <v>583</v>
      </c>
      <c r="AI1" s="124" t="s">
        <v>364</v>
      </c>
      <c r="AM1" s="50" t="s">
        <v>376</v>
      </c>
      <c r="AN1" s="8" t="s">
        <v>555</v>
      </c>
      <c r="AP1" s="50" t="s">
        <v>556</v>
      </c>
      <c r="AQ1" s="8" t="s">
        <v>557</v>
      </c>
      <c r="AR1" s="19" t="s">
        <v>137</v>
      </c>
      <c r="AS1" s="8" t="s">
        <v>12</v>
      </c>
    </row>
    <row r="2" spans="1:45" x14ac:dyDescent="0.25">
      <c r="A2" s="21" t="s">
        <v>38</v>
      </c>
      <c r="B2" s="3">
        <v>8</v>
      </c>
      <c r="C2" s="21" t="s">
        <v>42</v>
      </c>
      <c r="D2" s="3">
        <v>1</v>
      </c>
      <c r="F2" s="10" t="s">
        <v>1</v>
      </c>
      <c r="H2" s="3"/>
      <c r="K2" s="11" t="s">
        <v>19</v>
      </c>
      <c r="L2" s="12">
        <v>2</v>
      </c>
      <c r="N2" s="10" t="s">
        <v>313</v>
      </c>
      <c r="O2" s="21" t="s">
        <v>27</v>
      </c>
      <c r="P2" s="2" t="s">
        <v>233</v>
      </c>
      <c r="Q2" s="2" t="s">
        <v>52</v>
      </c>
      <c r="R2" s="27" t="s">
        <v>296</v>
      </c>
      <c r="S2" s="21" t="s">
        <v>30</v>
      </c>
      <c r="T2" s="2" t="s">
        <v>48</v>
      </c>
      <c r="U2" s="2" t="s">
        <v>50</v>
      </c>
      <c r="W2" s="51" t="s">
        <v>79</v>
      </c>
      <c r="X2" s="2" t="s">
        <v>80</v>
      </c>
      <c r="Y2" s="11" t="s">
        <v>94</v>
      </c>
      <c r="Z2" s="11" t="s">
        <v>97</v>
      </c>
      <c r="AB2" s="21" t="s">
        <v>210</v>
      </c>
      <c r="AC2" s="2" t="s">
        <v>140</v>
      </c>
      <c r="AD2" s="11" t="s">
        <v>141</v>
      </c>
      <c r="AE2" s="11" t="s">
        <v>209</v>
      </c>
      <c r="AG2" s="2" t="s">
        <v>581</v>
      </c>
      <c r="AI2" s="126">
        <v>4</v>
      </c>
      <c r="AM2" t="s">
        <v>377</v>
      </c>
      <c r="AN2" s="139">
        <v>14539162</v>
      </c>
      <c r="AP2" s="2" t="s">
        <v>558</v>
      </c>
      <c r="AQ2" s="2" t="s">
        <v>564</v>
      </c>
      <c r="AR2" s="11" t="s">
        <v>565</v>
      </c>
      <c r="AS2" s="2" t="s">
        <v>563</v>
      </c>
    </row>
    <row r="3" spans="1:45" x14ac:dyDescent="0.25">
      <c r="A3" s="21" t="s">
        <v>39</v>
      </c>
      <c r="B3" s="3">
        <v>2</v>
      </c>
      <c r="C3" s="21" t="s">
        <v>45</v>
      </c>
      <c r="D3" s="3">
        <v>11</v>
      </c>
      <c r="F3" s="10" t="s">
        <v>2</v>
      </c>
      <c r="H3" s="3"/>
      <c r="K3" s="11" t="s">
        <v>18</v>
      </c>
      <c r="L3" s="12" t="s">
        <v>30</v>
      </c>
      <c r="N3" s="10" t="s">
        <v>314</v>
      </c>
      <c r="O3" s="21" t="s">
        <v>139</v>
      </c>
      <c r="P3" s="2" t="s">
        <v>235</v>
      </c>
      <c r="Q3" s="2" t="s">
        <v>234</v>
      </c>
      <c r="R3" s="27" t="s">
        <v>59</v>
      </c>
      <c r="S3" s="21" t="s">
        <v>32</v>
      </c>
      <c r="T3" s="2" t="s">
        <v>49</v>
      </c>
      <c r="U3" s="2" t="s">
        <v>51</v>
      </c>
      <c r="W3" s="51" t="s">
        <v>72</v>
      </c>
      <c r="X3" s="2" t="s">
        <v>70</v>
      </c>
      <c r="Y3" s="11" t="s">
        <v>85</v>
      </c>
      <c r="Z3" s="11" t="s">
        <v>98</v>
      </c>
      <c r="AB3" s="21" t="s">
        <v>220</v>
      </c>
      <c r="AC3" s="2" t="s">
        <v>169</v>
      </c>
      <c r="AD3" s="11" t="s">
        <v>170</v>
      </c>
      <c r="AE3" s="11" t="s">
        <v>171</v>
      </c>
      <c r="AG3" s="2" t="s">
        <v>582</v>
      </c>
      <c r="AI3" s="126">
        <v>2</v>
      </c>
      <c r="AM3" t="s">
        <v>378</v>
      </c>
      <c r="AN3" s="140">
        <v>7357431</v>
      </c>
      <c r="AP3" s="2" t="s">
        <v>559</v>
      </c>
      <c r="AQ3" s="2" t="s">
        <v>566</v>
      </c>
      <c r="AR3" s="11" t="s">
        <v>567</v>
      </c>
      <c r="AS3" s="2" t="s">
        <v>563</v>
      </c>
    </row>
    <row r="4" spans="1:45" x14ac:dyDescent="0.25">
      <c r="A4" s="21" t="s">
        <v>40</v>
      </c>
      <c r="B4" s="3">
        <v>1</v>
      </c>
      <c r="C4" s="21" t="s">
        <v>43</v>
      </c>
      <c r="D4" s="3">
        <v>10</v>
      </c>
      <c r="F4" s="10" t="s">
        <v>3</v>
      </c>
      <c r="H4" s="3"/>
      <c r="K4" s="11" t="s">
        <v>17</v>
      </c>
      <c r="L4" s="12">
        <v>75</v>
      </c>
      <c r="M4" s="2" t="s">
        <v>14</v>
      </c>
      <c r="N4" s="10" t="s">
        <v>315</v>
      </c>
      <c r="O4" s="21" t="s">
        <v>28</v>
      </c>
      <c r="P4" s="2" t="s">
        <v>236</v>
      </c>
      <c r="Q4" s="2" t="s">
        <v>55</v>
      </c>
      <c r="W4" s="51" t="s">
        <v>78</v>
      </c>
      <c r="X4" s="2" t="s">
        <v>81</v>
      </c>
      <c r="Y4" s="11" t="s">
        <v>86</v>
      </c>
      <c r="Z4" s="11" t="s">
        <v>98</v>
      </c>
      <c r="AB4" s="21" t="s">
        <v>211</v>
      </c>
      <c r="AC4" s="2" t="s">
        <v>142</v>
      </c>
      <c r="AD4" s="11" t="s">
        <v>143</v>
      </c>
      <c r="AE4" s="11" t="s">
        <v>147</v>
      </c>
      <c r="AI4" s="126" t="b">
        <v>0</v>
      </c>
      <c r="AM4"/>
      <c r="AN4"/>
      <c r="AP4" s="2" t="s">
        <v>560</v>
      </c>
      <c r="AQ4" s="2" t="s">
        <v>568</v>
      </c>
      <c r="AR4" s="11" t="s">
        <v>569</v>
      </c>
      <c r="AS4" s="2" t="s">
        <v>563</v>
      </c>
    </row>
    <row r="5" spans="1:45" x14ac:dyDescent="0.25">
      <c r="A5" s="21" t="s">
        <v>41</v>
      </c>
      <c r="B5" s="3">
        <v>3</v>
      </c>
      <c r="C5" s="21" t="s">
        <v>44</v>
      </c>
      <c r="D5" s="3">
        <v>4</v>
      </c>
      <c r="F5" s="10" t="s">
        <v>4</v>
      </c>
      <c r="H5" s="3"/>
      <c r="K5" s="11" t="s">
        <v>16</v>
      </c>
      <c r="L5" s="12">
        <v>6</v>
      </c>
      <c r="N5" s="27" t="s">
        <v>316</v>
      </c>
      <c r="O5" s="21" t="s">
        <v>62</v>
      </c>
      <c r="P5" s="2" t="s">
        <v>237</v>
      </c>
      <c r="Q5" s="2" t="s">
        <v>66</v>
      </c>
      <c r="W5" s="51" t="s">
        <v>73</v>
      </c>
      <c r="X5" s="2" t="s">
        <v>82</v>
      </c>
      <c r="Y5" s="11" t="s">
        <v>87</v>
      </c>
      <c r="AB5" s="21" t="s">
        <v>144</v>
      </c>
      <c r="AC5" s="2" t="s">
        <v>145</v>
      </c>
      <c r="AD5" s="11" t="s">
        <v>146</v>
      </c>
      <c r="AE5" s="11" t="s">
        <v>147</v>
      </c>
      <c r="AI5" s="126">
        <v>4</v>
      </c>
      <c r="AM5" t="s">
        <v>379</v>
      </c>
      <c r="AN5" s="141">
        <v>1964530</v>
      </c>
      <c r="AP5" s="2" t="s">
        <v>561</v>
      </c>
      <c r="AQ5" s="2" t="s">
        <v>570</v>
      </c>
      <c r="AR5" s="11" t="s">
        <v>571</v>
      </c>
      <c r="AS5" s="2" t="s">
        <v>563</v>
      </c>
    </row>
    <row r="6" spans="1:45" x14ac:dyDescent="0.25">
      <c r="H6" s="3"/>
      <c r="K6" s="11" t="s">
        <v>15</v>
      </c>
      <c r="L6" s="64" t="s">
        <v>27</v>
      </c>
      <c r="N6" s="27" t="s">
        <v>324</v>
      </c>
      <c r="O6" s="21" t="s">
        <v>301</v>
      </c>
      <c r="P6" s="2" t="s">
        <v>311</v>
      </c>
      <c r="Q6" s="2" t="s">
        <v>312</v>
      </c>
      <c r="W6" s="51" t="s">
        <v>74</v>
      </c>
      <c r="X6" s="2" t="s">
        <v>83</v>
      </c>
      <c r="Y6" s="11" t="s">
        <v>88</v>
      </c>
      <c r="AB6" s="21" t="s">
        <v>212</v>
      </c>
      <c r="AC6" s="2" t="s">
        <v>148</v>
      </c>
      <c r="AD6" s="11" t="s">
        <v>149</v>
      </c>
      <c r="AE6" s="11" t="s">
        <v>150</v>
      </c>
      <c r="AI6" s="126">
        <v>14277081</v>
      </c>
      <c r="AM6" t="s">
        <v>380</v>
      </c>
      <c r="AN6" s="142">
        <v>13288807</v>
      </c>
      <c r="AP6" s="2" t="s">
        <v>562</v>
      </c>
      <c r="AQ6" s="2" t="s">
        <v>572</v>
      </c>
      <c r="AR6" s="11" t="s">
        <v>573</v>
      </c>
      <c r="AS6" s="2" t="s">
        <v>563</v>
      </c>
    </row>
    <row r="7" spans="1:45" x14ac:dyDescent="0.25">
      <c r="H7" s="3"/>
      <c r="K7" s="11" t="s">
        <v>598</v>
      </c>
      <c r="L7" s="12" t="b">
        <v>0</v>
      </c>
      <c r="N7" s="27" t="s">
        <v>323</v>
      </c>
      <c r="O7" s="21" t="s">
        <v>29</v>
      </c>
      <c r="P7" s="2" t="s">
        <v>238</v>
      </c>
      <c r="Q7" s="2" t="s">
        <v>65</v>
      </c>
      <c r="W7" s="51" t="s">
        <v>75</v>
      </c>
      <c r="X7" s="2" t="s">
        <v>84</v>
      </c>
      <c r="Y7" s="11" t="s">
        <v>89</v>
      </c>
      <c r="AB7" s="21" t="s">
        <v>213</v>
      </c>
      <c r="AC7" s="2" t="s">
        <v>151</v>
      </c>
      <c r="AD7" s="11" t="s">
        <v>152</v>
      </c>
      <c r="AE7" s="11" t="s">
        <v>153</v>
      </c>
      <c r="AI7" s="126">
        <v>0</v>
      </c>
      <c r="AM7" t="s">
        <v>381</v>
      </c>
      <c r="AN7" s="143">
        <v>9289881</v>
      </c>
      <c r="AP7" s="2" t="s">
        <v>575</v>
      </c>
      <c r="AQ7" s="2" t="s">
        <v>579</v>
      </c>
      <c r="AR7" s="11" t="s">
        <v>576</v>
      </c>
      <c r="AS7" s="2" t="s">
        <v>574</v>
      </c>
    </row>
    <row r="8" spans="1:45" x14ac:dyDescent="0.25">
      <c r="H8" s="3"/>
      <c r="K8" s="11" t="s">
        <v>599</v>
      </c>
      <c r="L8" s="12" t="b">
        <v>0</v>
      </c>
      <c r="N8" s="27" t="s">
        <v>292</v>
      </c>
      <c r="O8" s="21" t="s">
        <v>291</v>
      </c>
      <c r="P8" s="2" t="s">
        <v>293</v>
      </c>
      <c r="Q8" s="2" t="s">
        <v>295</v>
      </c>
      <c r="W8" s="51" t="s">
        <v>76</v>
      </c>
      <c r="X8" s="2" t="s">
        <v>91</v>
      </c>
      <c r="Y8" s="11" t="s">
        <v>90</v>
      </c>
      <c r="AB8" s="21" t="s">
        <v>214</v>
      </c>
      <c r="AC8" s="2" t="s">
        <v>154</v>
      </c>
      <c r="AD8" s="11" t="s">
        <v>155</v>
      </c>
      <c r="AE8" s="11" t="s">
        <v>153</v>
      </c>
      <c r="AI8" s="126">
        <v>0.75</v>
      </c>
      <c r="AM8" t="s">
        <v>382</v>
      </c>
      <c r="AN8" s="144">
        <v>6501879</v>
      </c>
      <c r="AP8" s="2" t="s">
        <v>580</v>
      </c>
      <c r="AQ8" s="2" t="s">
        <v>578</v>
      </c>
      <c r="AR8" s="11" t="s">
        <v>577</v>
      </c>
      <c r="AS8" s="2" t="s">
        <v>574</v>
      </c>
    </row>
    <row r="9" spans="1:45" x14ac:dyDescent="0.25">
      <c r="H9" s="3"/>
      <c r="K9" s="11" t="s">
        <v>35</v>
      </c>
      <c r="L9" s="12">
        <v>150000</v>
      </c>
      <c r="N9" s="27" t="s">
        <v>310</v>
      </c>
      <c r="O9" s="21" t="s">
        <v>67</v>
      </c>
      <c r="P9" s="2" t="s">
        <v>239</v>
      </c>
      <c r="Q9" s="2" t="s">
        <v>294</v>
      </c>
      <c r="W9" s="51" t="s">
        <v>77</v>
      </c>
      <c r="X9" s="2" t="s">
        <v>92</v>
      </c>
      <c r="Y9" s="11" t="s">
        <v>93</v>
      </c>
      <c r="AB9" s="21" t="s">
        <v>215</v>
      </c>
      <c r="AC9" s="2" t="s">
        <v>156</v>
      </c>
      <c r="AD9" s="11" t="s">
        <v>157</v>
      </c>
      <c r="AE9" s="11" t="s">
        <v>158</v>
      </c>
      <c r="AI9" s="126" t="b">
        <v>0</v>
      </c>
      <c r="AM9" t="s">
        <v>383</v>
      </c>
      <c r="AN9" s="145">
        <v>8324336</v>
      </c>
    </row>
    <row r="10" spans="1:45" x14ac:dyDescent="0.25">
      <c r="H10" s="3"/>
      <c r="K10" s="11" t="s">
        <v>584</v>
      </c>
      <c r="L10" s="12" t="s">
        <v>581</v>
      </c>
      <c r="W10" s="51" t="s">
        <v>134</v>
      </c>
      <c r="X10" s="2" t="s">
        <v>108</v>
      </c>
      <c r="Y10" s="11" t="s">
        <v>109</v>
      </c>
      <c r="Z10" s="11" t="s">
        <v>99</v>
      </c>
      <c r="AB10" s="21" t="s">
        <v>216</v>
      </c>
      <c r="AC10" s="2" t="s">
        <v>159</v>
      </c>
      <c r="AD10" s="11" t="s">
        <v>160</v>
      </c>
      <c r="AE10" s="11" t="s">
        <v>161</v>
      </c>
      <c r="AI10" s="126">
        <v>1</v>
      </c>
      <c r="AM10" t="s">
        <v>384</v>
      </c>
      <c r="AN10" s="146">
        <v>8258222</v>
      </c>
    </row>
    <row r="11" spans="1:45" x14ac:dyDescent="0.25">
      <c r="H11" s="3"/>
      <c r="K11" s="11" t="s">
        <v>597</v>
      </c>
      <c r="L11" s="12" t="b">
        <v>0</v>
      </c>
      <c r="W11" s="51" t="s">
        <v>133</v>
      </c>
      <c r="X11" s="2" t="s">
        <v>110</v>
      </c>
      <c r="Y11" s="11" t="s">
        <v>111</v>
      </c>
      <c r="Z11" s="11" t="s">
        <v>100</v>
      </c>
      <c r="AB11" s="21" t="s">
        <v>217</v>
      </c>
      <c r="AC11" s="2" t="s">
        <v>162</v>
      </c>
      <c r="AD11" s="11" t="s">
        <v>163</v>
      </c>
      <c r="AE11" s="11" t="s">
        <v>161</v>
      </c>
      <c r="AI11" s="126">
        <v>15921906</v>
      </c>
      <c r="AM11"/>
      <c r="AN11"/>
    </row>
    <row r="12" spans="1:45" x14ac:dyDescent="0.25">
      <c r="H12" s="3"/>
      <c r="K12" s="11" t="s">
        <v>54</v>
      </c>
      <c r="L12" s="12" t="s">
        <v>95</v>
      </c>
      <c r="W12" s="51" t="s">
        <v>126</v>
      </c>
      <c r="X12" s="2" t="s">
        <v>123</v>
      </c>
      <c r="Y12" s="11" t="s">
        <v>122</v>
      </c>
      <c r="Z12" s="11" t="s">
        <v>101</v>
      </c>
      <c r="AB12" s="21" t="s">
        <v>218</v>
      </c>
      <c r="AC12" s="2" t="s">
        <v>164</v>
      </c>
      <c r="AD12" s="11" t="s">
        <v>165</v>
      </c>
      <c r="AE12" s="11" t="s">
        <v>131</v>
      </c>
      <c r="AI12" s="126">
        <v>-2147483648</v>
      </c>
      <c r="AM12" t="s">
        <v>385</v>
      </c>
      <c r="AN12" s="147">
        <v>8387065</v>
      </c>
    </row>
    <row r="13" spans="1:45" x14ac:dyDescent="0.25">
      <c r="H13" s="3"/>
      <c r="K13" s="11" t="s">
        <v>57</v>
      </c>
      <c r="L13" s="12" t="s">
        <v>58</v>
      </c>
      <c r="W13" s="51" t="s">
        <v>132</v>
      </c>
      <c r="X13" s="2" t="s">
        <v>130</v>
      </c>
      <c r="Y13" s="11" t="s">
        <v>136</v>
      </c>
      <c r="Z13" s="11" t="s">
        <v>131</v>
      </c>
      <c r="AB13" s="21" t="s">
        <v>219</v>
      </c>
      <c r="AC13" s="2" t="s">
        <v>166</v>
      </c>
      <c r="AD13" s="11" t="s">
        <v>167</v>
      </c>
      <c r="AE13" s="11" t="s">
        <v>168</v>
      </c>
      <c r="AI13" s="126">
        <v>0.75</v>
      </c>
      <c r="AM13" t="s">
        <v>386</v>
      </c>
      <c r="AN13" s="148">
        <v>1697535</v>
      </c>
    </row>
    <row r="14" spans="1:45" x14ac:dyDescent="0.25">
      <c r="H14" s="3"/>
      <c r="K14" s="11" t="s">
        <v>56</v>
      </c>
      <c r="L14" s="12" t="s">
        <v>375</v>
      </c>
      <c r="W14" s="51" t="s">
        <v>102</v>
      </c>
      <c r="X14" s="2" t="s">
        <v>124</v>
      </c>
      <c r="Y14" s="11" t="s">
        <v>125</v>
      </c>
      <c r="AB14" s="21" t="s">
        <v>221</v>
      </c>
      <c r="AC14" s="2" t="s">
        <v>172</v>
      </c>
      <c r="AD14" s="11" t="s">
        <v>173</v>
      </c>
      <c r="AE14" s="11" t="s">
        <v>174</v>
      </c>
      <c r="AI14" s="126">
        <v>0</v>
      </c>
      <c r="AM14" t="s">
        <v>387</v>
      </c>
      <c r="AN14" s="149">
        <v>5413629</v>
      </c>
    </row>
    <row r="15" spans="1:45" x14ac:dyDescent="0.25">
      <c r="H15" s="3"/>
      <c r="K15" s="11" t="s">
        <v>60</v>
      </c>
      <c r="L15" s="12">
        <v>12</v>
      </c>
      <c r="W15" s="51" t="s">
        <v>129</v>
      </c>
      <c r="X15" s="2" t="s">
        <v>112</v>
      </c>
      <c r="Y15" s="11" t="s">
        <v>113</v>
      </c>
      <c r="Z15" s="11" t="s">
        <v>103</v>
      </c>
      <c r="AB15" s="21" t="s">
        <v>222</v>
      </c>
      <c r="AC15" s="2" t="s">
        <v>175</v>
      </c>
      <c r="AD15" s="11" t="s">
        <v>176</v>
      </c>
      <c r="AE15" s="11" t="s">
        <v>177</v>
      </c>
      <c r="AI15" s="126">
        <v>0</v>
      </c>
      <c r="AM15" t="s">
        <v>388</v>
      </c>
      <c r="AN15" s="150">
        <v>5162623</v>
      </c>
    </row>
    <row r="16" spans="1:45" x14ac:dyDescent="0.25">
      <c r="H16" s="3"/>
      <c r="K16" s="11" t="s">
        <v>61</v>
      </c>
      <c r="L16" s="12"/>
      <c r="W16" s="51" t="s">
        <v>105</v>
      </c>
      <c r="X16" s="2" t="s">
        <v>114</v>
      </c>
      <c r="Y16" s="11" t="s">
        <v>115</v>
      </c>
      <c r="Z16" s="11" t="s">
        <v>104</v>
      </c>
      <c r="AB16" s="21" t="s">
        <v>223</v>
      </c>
      <c r="AC16" s="2" t="s">
        <v>178</v>
      </c>
      <c r="AD16" s="11" t="s">
        <v>179</v>
      </c>
      <c r="AE16" s="11" t="s">
        <v>177</v>
      </c>
      <c r="AI16" s="126">
        <v>0.75</v>
      </c>
      <c r="AM16" t="s">
        <v>389</v>
      </c>
      <c r="AN16" s="151">
        <v>13218356</v>
      </c>
    </row>
    <row r="17" spans="8:40" x14ac:dyDescent="0.25">
      <c r="H17" s="3"/>
      <c r="K17" s="11" t="s">
        <v>63</v>
      </c>
      <c r="L17" s="12">
        <v>0</v>
      </c>
      <c r="W17" s="51" t="s">
        <v>128</v>
      </c>
      <c r="X17" s="2" t="s">
        <v>116</v>
      </c>
      <c r="Y17" s="11" t="s">
        <v>117</v>
      </c>
      <c r="Z17" s="11" t="s">
        <v>106</v>
      </c>
      <c r="AB17" s="21" t="s">
        <v>224</v>
      </c>
      <c r="AC17" s="2" t="s">
        <v>180</v>
      </c>
      <c r="AD17" s="11" t="s">
        <v>181</v>
      </c>
      <c r="AE17" s="11" t="s">
        <v>182</v>
      </c>
      <c r="AI17" s="126">
        <v>4</v>
      </c>
      <c r="AM17" t="s">
        <v>390</v>
      </c>
      <c r="AN17" s="152">
        <v>9579393</v>
      </c>
    </row>
    <row r="18" spans="8:40" x14ac:dyDescent="0.25">
      <c r="H18" s="115"/>
      <c r="K18" s="11" t="s">
        <v>64</v>
      </c>
      <c r="L18" s="12">
        <v>350</v>
      </c>
      <c r="W18" s="51" t="s">
        <v>127</v>
      </c>
      <c r="X18" s="2" t="s">
        <v>118</v>
      </c>
      <c r="Y18" s="11" t="s">
        <v>119</v>
      </c>
      <c r="Z18" s="11" t="s">
        <v>107</v>
      </c>
      <c r="AB18" s="21" t="s">
        <v>225</v>
      </c>
      <c r="AC18" s="2" t="s">
        <v>183</v>
      </c>
      <c r="AD18" s="11" t="s">
        <v>184</v>
      </c>
      <c r="AE18" s="11" t="s">
        <v>182</v>
      </c>
      <c r="AI18" s="126">
        <v>0</v>
      </c>
      <c r="AM18" t="s">
        <v>391</v>
      </c>
      <c r="AN18" s="153">
        <v>2638064</v>
      </c>
    </row>
    <row r="19" spans="8:40" x14ac:dyDescent="0.25">
      <c r="H19" s="3"/>
      <c r="K19" s="11" t="s">
        <v>596</v>
      </c>
      <c r="L19" s="12"/>
      <c r="W19" s="51" t="s">
        <v>135</v>
      </c>
      <c r="X19" s="2" t="s">
        <v>120</v>
      </c>
      <c r="Y19" s="11" t="s">
        <v>121</v>
      </c>
      <c r="Z19" s="11" t="s">
        <v>107</v>
      </c>
      <c r="AB19" s="21" t="s">
        <v>185</v>
      </c>
      <c r="AC19" s="2" t="s">
        <v>186</v>
      </c>
      <c r="AD19" s="11" t="s">
        <v>187</v>
      </c>
      <c r="AE19" s="11" t="s">
        <v>188</v>
      </c>
      <c r="AI19" s="126">
        <v>0</v>
      </c>
      <c r="AM19" t="s">
        <v>392</v>
      </c>
      <c r="AN19" s="154">
        <v>10069351</v>
      </c>
    </row>
    <row r="20" spans="8:40" x14ac:dyDescent="0.25">
      <c r="H20" s="3"/>
      <c r="K20" s="11" t="s">
        <v>593</v>
      </c>
      <c r="L20" s="12" t="b">
        <v>0</v>
      </c>
      <c r="W20" s="51"/>
      <c r="AB20" s="21" t="s">
        <v>226</v>
      </c>
      <c r="AC20" s="2" t="s">
        <v>189</v>
      </c>
      <c r="AD20" s="11" t="s">
        <v>190</v>
      </c>
      <c r="AE20" s="11" t="s">
        <v>191</v>
      </c>
      <c r="AI20" s="126">
        <v>4</v>
      </c>
      <c r="AM20" t="s">
        <v>393</v>
      </c>
      <c r="AN20" s="155">
        <v>3640523</v>
      </c>
    </row>
    <row r="21" spans="8:40" x14ac:dyDescent="0.25">
      <c r="H21" s="3"/>
      <c r="K21" s="316"/>
      <c r="L21" s="317"/>
      <c r="W21" s="51"/>
      <c r="AB21" s="21" t="s">
        <v>227</v>
      </c>
      <c r="AC21" s="2" t="s">
        <v>192</v>
      </c>
      <c r="AD21" s="11" t="s">
        <v>193</v>
      </c>
      <c r="AE21" s="11" t="s">
        <v>191</v>
      </c>
      <c r="AI21" s="126">
        <v>2</v>
      </c>
      <c r="AM21" t="s">
        <v>394</v>
      </c>
      <c r="AN21" s="156">
        <v>11985331</v>
      </c>
    </row>
    <row r="22" spans="8:40" x14ac:dyDescent="0.25">
      <c r="H22" s="3"/>
      <c r="K22" s="11" t="s">
        <v>592</v>
      </c>
      <c r="L22" s="309" t="b">
        <v>0</v>
      </c>
      <c r="W22" s="51"/>
      <c r="AB22" s="21" t="s">
        <v>228</v>
      </c>
      <c r="AC22" s="2" t="s">
        <v>194</v>
      </c>
      <c r="AD22" s="11" t="s">
        <v>195</v>
      </c>
      <c r="AE22" s="11" t="s">
        <v>191</v>
      </c>
      <c r="AI22" s="126" t="b">
        <v>0</v>
      </c>
      <c r="AM22" t="s">
        <v>395</v>
      </c>
      <c r="AN22" s="157">
        <v>7377408</v>
      </c>
    </row>
    <row r="23" spans="8:40" x14ac:dyDescent="0.25">
      <c r="H23" s="3"/>
      <c r="K23" s="11" t="s">
        <v>257</v>
      </c>
      <c r="L23" s="12" t="b">
        <v>0</v>
      </c>
      <c r="W23" s="51"/>
      <c r="AB23" s="21" t="s">
        <v>229</v>
      </c>
      <c r="AC23" s="2" t="s">
        <v>196</v>
      </c>
      <c r="AD23" s="11" t="s">
        <v>197</v>
      </c>
      <c r="AE23" s="11" t="s">
        <v>191</v>
      </c>
      <c r="AI23" s="126">
        <v>1</v>
      </c>
      <c r="AM23" t="s">
        <v>396</v>
      </c>
      <c r="AN23" s="158">
        <v>5677183</v>
      </c>
    </row>
    <row r="24" spans="8:40" x14ac:dyDescent="0.25">
      <c r="H24" s="3"/>
      <c r="K24" s="316"/>
      <c r="L24" s="317"/>
      <c r="W24" s="51"/>
      <c r="AB24" s="21" t="s">
        <v>231</v>
      </c>
      <c r="AC24" s="2" t="s">
        <v>198</v>
      </c>
      <c r="AD24" s="11" t="s">
        <v>199</v>
      </c>
      <c r="AE24" s="11" t="s">
        <v>200</v>
      </c>
      <c r="AI24" s="126">
        <v>14277081</v>
      </c>
      <c r="AM24" t="s">
        <v>397</v>
      </c>
      <c r="AN24" s="159">
        <v>4371454</v>
      </c>
    </row>
    <row r="25" spans="8:40" x14ac:dyDescent="0.25">
      <c r="H25" s="3"/>
      <c r="K25" s="11" t="s">
        <v>366</v>
      </c>
      <c r="L25" s="12" t="s">
        <v>368</v>
      </c>
      <c r="W25" s="51"/>
      <c r="AB25" s="21" t="s">
        <v>230</v>
      </c>
      <c r="AC25" s="2" t="s">
        <v>201</v>
      </c>
      <c r="AD25" s="11" t="s">
        <v>202</v>
      </c>
      <c r="AE25" s="11" t="s">
        <v>200</v>
      </c>
      <c r="AI25" s="126">
        <v>-2147483648</v>
      </c>
      <c r="AM25" t="s">
        <v>398</v>
      </c>
      <c r="AN25" s="160">
        <v>6468861</v>
      </c>
    </row>
    <row r="26" spans="8:40" x14ac:dyDescent="0.25">
      <c r="H26" s="3"/>
      <c r="K26" s="11" t="s">
        <v>588</v>
      </c>
      <c r="L26" s="63" t="s">
        <v>585</v>
      </c>
      <c r="W26" s="51"/>
      <c r="AB26" s="21" t="s">
        <v>232</v>
      </c>
      <c r="AC26" s="2" t="s">
        <v>203</v>
      </c>
      <c r="AD26" s="11" t="s">
        <v>204</v>
      </c>
      <c r="AE26" s="11" t="s">
        <v>200</v>
      </c>
      <c r="AI26" s="126">
        <v>0.75</v>
      </c>
      <c r="AM26" t="s">
        <v>399</v>
      </c>
      <c r="AN26" s="140">
        <v>7357431</v>
      </c>
    </row>
    <row r="27" spans="8:40" x14ac:dyDescent="0.25">
      <c r="H27" s="3"/>
      <c r="K27" s="11" t="s">
        <v>298</v>
      </c>
      <c r="L27" s="63" t="s">
        <v>586</v>
      </c>
      <c r="W27" s="51"/>
      <c r="AB27" s="21" t="s">
        <v>205</v>
      </c>
      <c r="AC27" s="2" t="s">
        <v>206</v>
      </c>
      <c r="AD27" s="11" t="s">
        <v>207</v>
      </c>
      <c r="AE27" s="11" t="s">
        <v>208</v>
      </c>
      <c r="AI27" s="126" t="b">
        <v>0</v>
      </c>
      <c r="AM27" t="s">
        <v>400</v>
      </c>
      <c r="AN27" s="161">
        <v>12688377</v>
      </c>
    </row>
    <row r="28" spans="8:40" x14ac:dyDescent="0.25">
      <c r="H28" s="3"/>
      <c r="K28" s="11" t="s">
        <v>299</v>
      </c>
      <c r="L28" s="12">
        <v>20</v>
      </c>
      <c r="W28" s="51"/>
      <c r="AB28" s="21"/>
      <c r="AI28" s="126">
        <v>1</v>
      </c>
      <c r="AM28" t="s">
        <v>401</v>
      </c>
      <c r="AN28" s="162">
        <v>11102455</v>
      </c>
    </row>
    <row r="29" spans="8:40" x14ac:dyDescent="0.25">
      <c r="H29" s="3"/>
      <c r="K29" s="11" t="s">
        <v>300</v>
      </c>
      <c r="L29" s="12">
        <v>4000</v>
      </c>
      <c r="W29" s="51"/>
      <c r="AB29" s="21"/>
      <c r="AI29" s="126">
        <v>15921906</v>
      </c>
      <c r="AM29" t="s">
        <v>402</v>
      </c>
      <c r="AN29" s="163">
        <v>10437876</v>
      </c>
    </row>
    <row r="30" spans="8:40" x14ac:dyDescent="0.25">
      <c r="H30" s="3"/>
      <c r="K30" s="11" t="s">
        <v>319</v>
      </c>
      <c r="L30" s="12" t="b">
        <v>1</v>
      </c>
      <c r="W30" s="51"/>
      <c r="AB30" s="21"/>
      <c r="AI30" s="126">
        <v>-2147483648</v>
      </c>
      <c r="AM30" t="s">
        <v>403</v>
      </c>
      <c r="AN30" s="164">
        <v>8324058</v>
      </c>
    </row>
    <row r="31" spans="8:40" x14ac:dyDescent="0.25">
      <c r="H31" s="3"/>
      <c r="K31" s="11" t="s">
        <v>319</v>
      </c>
      <c r="L31" s="12">
        <v>500</v>
      </c>
      <c r="W31" s="51"/>
      <c r="AB31" s="21"/>
      <c r="AI31" s="126">
        <v>0.75</v>
      </c>
      <c r="AM31"/>
      <c r="AN31"/>
    </row>
    <row r="32" spans="8:40" x14ac:dyDescent="0.25">
      <c r="H32" s="3"/>
      <c r="K32" s="11" t="s">
        <v>320</v>
      </c>
      <c r="L32" s="12" t="b">
        <v>1</v>
      </c>
      <c r="W32" s="51"/>
      <c r="AB32" s="21"/>
      <c r="AI32" s="126">
        <v>0</v>
      </c>
      <c r="AM32" t="s">
        <v>404</v>
      </c>
      <c r="AN32" s="165">
        <v>11911833</v>
      </c>
    </row>
    <row r="33" spans="8:40" x14ac:dyDescent="0.25">
      <c r="H33" s="3"/>
      <c r="K33" s="11" t="s">
        <v>355</v>
      </c>
      <c r="L33" s="12" t="b">
        <v>0</v>
      </c>
      <c r="W33" s="51"/>
      <c r="AB33" s="21"/>
      <c r="AI33" s="126">
        <v>0</v>
      </c>
      <c r="AM33" t="s">
        <v>405</v>
      </c>
      <c r="AN33" s="166">
        <v>6721383</v>
      </c>
    </row>
    <row r="34" spans="8:40" x14ac:dyDescent="0.25">
      <c r="H34" s="3"/>
      <c r="K34" s="11" t="s">
        <v>356</v>
      </c>
      <c r="L34" s="12" t="b">
        <v>0</v>
      </c>
      <c r="W34" s="51"/>
      <c r="AB34" s="21"/>
      <c r="AI34" s="126">
        <v>0.75</v>
      </c>
      <c r="AM34"/>
      <c r="AN34"/>
    </row>
    <row r="35" spans="8:40" x14ac:dyDescent="0.25">
      <c r="H35" s="3"/>
      <c r="K35" s="11" t="s">
        <v>357</v>
      </c>
      <c r="L35" s="12" t="b">
        <v>0</v>
      </c>
      <c r="W35" s="51"/>
      <c r="AB35" s="21"/>
      <c r="AI35" s="126">
        <v>4</v>
      </c>
      <c r="AM35" t="s">
        <v>406</v>
      </c>
      <c r="AN35" s="167">
        <v>15528702</v>
      </c>
    </row>
    <row r="36" spans="8:40" x14ac:dyDescent="0.25">
      <c r="H36" s="3"/>
      <c r="K36" s="11" t="s">
        <v>358</v>
      </c>
      <c r="L36" s="12" t="b">
        <v>0</v>
      </c>
      <c r="W36" s="51"/>
      <c r="AB36" s="21"/>
      <c r="AI36" s="126">
        <v>0</v>
      </c>
      <c r="AM36" t="s">
        <v>407</v>
      </c>
      <c r="AN36" s="168">
        <v>11465471</v>
      </c>
    </row>
    <row r="37" spans="8:40" x14ac:dyDescent="0.25">
      <c r="H37" s="3"/>
      <c r="K37" s="11" t="s">
        <v>365</v>
      </c>
      <c r="L37" s="12" t="b">
        <v>0</v>
      </c>
      <c r="W37" s="51"/>
      <c r="AB37" s="21"/>
      <c r="AI37" s="126">
        <v>0</v>
      </c>
      <c r="AM37" t="s">
        <v>408</v>
      </c>
      <c r="AN37" s="169">
        <v>10092543</v>
      </c>
    </row>
    <row r="38" spans="8:40" x14ac:dyDescent="0.25">
      <c r="H38" s="3"/>
      <c r="K38" s="11" t="s">
        <v>367</v>
      </c>
      <c r="L38" s="12" t="b">
        <v>0</v>
      </c>
      <c r="W38" s="51"/>
      <c r="AB38" s="21"/>
      <c r="AI38" s="126">
        <v>16777215</v>
      </c>
      <c r="AM38" t="s">
        <v>409</v>
      </c>
      <c r="AN38" s="170">
        <v>65535</v>
      </c>
    </row>
    <row r="39" spans="8:40" x14ac:dyDescent="0.25">
      <c r="H39" s="3"/>
      <c r="K39" s="11" t="s">
        <v>587</v>
      </c>
      <c r="L39" s="12" t="b">
        <v>0</v>
      </c>
      <c r="W39" s="51"/>
      <c r="AB39" s="21"/>
      <c r="AI39" s="126">
        <v>1</v>
      </c>
      <c r="AM39" t="s">
        <v>410</v>
      </c>
      <c r="AN39" s="171">
        <v>8044797</v>
      </c>
    </row>
    <row r="40" spans="8:40" x14ac:dyDescent="0.25">
      <c r="H40" s="3"/>
      <c r="K40" s="11" t="s">
        <v>370</v>
      </c>
      <c r="L40" s="12" t="b">
        <v>1</v>
      </c>
      <c r="W40" s="51"/>
      <c r="AB40" s="21"/>
      <c r="AI40" s="126">
        <v>16777215</v>
      </c>
      <c r="AM40" t="s">
        <v>411</v>
      </c>
      <c r="AN40" s="172">
        <v>7124221</v>
      </c>
    </row>
    <row r="41" spans="8:40" x14ac:dyDescent="0.25">
      <c r="H41" s="3"/>
      <c r="K41" s="11" t="s">
        <v>369</v>
      </c>
      <c r="L41" s="12" t="b">
        <v>1</v>
      </c>
      <c r="W41" s="51"/>
      <c r="AB41" s="21"/>
      <c r="AI41" s="126">
        <v>-2147483648</v>
      </c>
      <c r="AM41" t="s">
        <v>412</v>
      </c>
      <c r="AN41" s="173">
        <v>6268925</v>
      </c>
    </row>
    <row r="42" spans="8:40" x14ac:dyDescent="0.25">
      <c r="H42" s="3"/>
      <c r="K42" s="11" t="s">
        <v>371</v>
      </c>
      <c r="L42" s="12" t="b">
        <v>1</v>
      </c>
      <c r="W42" s="51"/>
      <c r="AB42" s="21"/>
      <c r="AI42" s="126">
        <v>-2147483648</v>
      </c>
      <c r="AM42" t="s">
        <v>413</v>
      </c>
      <c r="AN42" s="174">
        <v>4905126</v>
      </c>
    </row>
    <row r="43" spans="8:40" x14ac:dyDescent="0.25">
      <c r="H43" s="3"/>
      <c r="K43" s="11" t="s">
        <v>589</v>
      </c>
      <c r="L43" s="12" t="b">
        <v>0</v>
      </c>
      <c r="W43" s="51"/>
      <c r="AB43" s="21"/>
      <c r="AI43" s="126">
        <v>3684411</v>
      </c>
      <c r="AM43" t="s">
        <v>414</v>
      </c>
      <c r="AN43" s="175">
        <v>5754252</v>
      </c>
    </row>
    <row r="44" spans="8:40" x14ac:dyDescent="0.25">
      <c r="H44" s="3"/>
      <c r="K44" s="11" t="s">
        <v>590</v>
      </c>
      <c r="L44" s="12" t="b">
        <v>0</v>
      </c>
      <c r="W44" s="51"/>
      <c r="AB44" s="21"/>
      <c r="AI44" s="126">
        <v>0</v>
      </c>
      <c r="AM44" t="s">
        <v>415</v>
      </c>
      <c r="AN44" s="176">
        <v>15655859</v>
      </c>
    </row>
    <row r="45" spans="8:40" x14ac:dyDescent="0.25">
      <c r="H45" s="3"/>
      <c r="K45" s="11" t="s">
        <v>591</v>
      </c>
      <c r="L45" s="12" t="b">
        <v>0</v>
      </c>
      <c r="W45" s="51"/>
      <c r="AB45" s="21"/>
      <c r="AI45" s="126">
        <v>14277081</v>
      </c>
      <c r="AM45" t="s">
        <v>416</v>
      </c>
      <c r="AN45" s="177">
        <v>14208896</v>
      </c>
    </row>
    <row r="46" spans="8:40" x14ac:dyDescent="0.25">
      <c r="H46" s="3"/>
      <c r="K46" s="11" t="s">
        <v>594</v>
      </c>
      <c r="L46" s="12" t="b">
        <v>0</v>
      </c>
      <c r="W46" s="51"/>
      <c r="AB46" s="21"/>
      <c r="AI46" s="126">
        <v>-2147483648</v>
      </c>
      <c r="AM46" t="s">
        <v>417</v>
      </c>
      <c r="AN46" s="178">
        <v>13676098</v>
      </c>
    </row>
    <row r="47" spans="8:40" x14ac:dyDescent="0.25">
      <c r="H47" s="3"/>
      <c r="W47" s="51"/>
      <c r="AB47" s="21"/>
      <c r="AI47" s="126">
        <v>0.75</v>
      </c>
      <c r="AM47" t="s">
        <v>418</v>
      </c>
      <c r="AN47" s="179">
        <v>12815549</v>
      </c>
    </row>
    <row r="48" spans="8:40" x14ac:dyDescent="0.25">
      <c r="H48" s="3"/>
      <c r="W48" s="51"/>
      <c r="AB48" s="21"/>
      <c r="AI48" s="126">
        <v>0</v>
      </c>
      <c r="AM48" t="s">
        <v>419</v>
      </c>
      <c r="AN48" s="180">
        <v>11626673</v>
      </c>
    </row>
    <row r="49" spans="8:40" x14ac:dyDescent="0.25">
      <c r="H49" s="3"/>
      <c r="W49" s="51"/>
      <c r="AB49" s="21"/>
      <c r="AI49" s="126">
        <v>-4152</v>
      </c>
      <c r="AM49" t="s">
        <v>420</v>
      </c>
      <c r="AN49" s="181">
        <v>10041752</v>
      </c>
    </row>
    <row r="50" spans="8:40" x14ac:dyDescent="0.25">
      <c r="H50" s="3"/>
      <c r="W50" s="51"/>
      <c r="AB50" s="21"/>
      <c r="AM50" t="s">
        <v>421</v>
      </c>
      <c r="AN50" s="182">
        <v>9742331</v>
      </c>
    </row>
    <row r="51" spans="8:40" x14ac:dyDescent="0.25">
      <c r="W51" s="51"/>
      <c r="AB51" s="21"/>
      <c r="AM51" t="s">
        <v>422</v>
      </c>
      <c r="AN51" s="183">
        <v>6059259</v>
      </c>
    </row>
    <row r="52" spans="8:40" x14ac:dyDescent="0.25">
      <c r="W52" s="51"/>
      <c r="AB52" s="21"/>
      <c r="AM52" t="s">
        <v>423</v>
      </c>
      <c r="AN52" s="184">
        <v>4544751</v>
      </c>
    </row>
    <row r="53" spans="8:40" x14ac:dyDescent="0.25">
      <c r="W53" s="51"/>
      <c r="AB53" s="21"/>
      <c r="AM53" t="s">
        <v>424</v>
      </c>
      <c r="AN53" s="185">
        <v>12243135</v>
      </c>
    </row>
    <row r="54" spans="8:40" x14ac:dyDescent="0.25">
      <c r="W54" s="51"/>
      <c r="AB54" s="21"/>
      <c r="AM54" t="s">
        <v>425</v>
      </c>
      <c r="AN54" s="186">
        <v>12044198</v>
      </c>
    </row>
    <row r="55" spans="8:40" x14ac:dyDescent="0.25">
      <c r="W55" s="51"/>
      <c r="AB55" s="21"/>
      <c r="AM55" t="s">
        <v>426</v>
      </c>
      <c r="AN55" s="187">
        <v>11845260</v>
      </c>
    </row>
    <row r="56" spans="8:40" x14ac:dyDescent="0.25">
      <c r="W56" s="51"/>
      <c r="AB56" s="21"/>
      <c r="AM56" t="s">
        <v>427</v>
      </c>
      <c r="AN56" s="188">
        <v>7126707</v>
      </c>
    </row>
    <row r="57" spans="8:40" x14ac:dyDescent="0.25">
      <c r="W57" s="51"/>
      <c r="AB57" s="21"/>
      <c r="AM57" t="s">
        <v>428</v>
      </c>
      <c r="AN57" s="189">
        <v>7124121</v>
      </c>
    </row>
    <row r="58" spans="8:40" x14ac:dyDescent="0.25">
      <c r="W58" s="51"/>
      <c r="AB58" s="21"/>
      <c r="AM58" t="s">
        <v>429</v>
      </c>
      <c r="AN58" s="190">
        <v>7121792</v>
      </c>
    </row>
    <row r="59" spans="8:40" x14ac:dyDescent="0.25">
      <c r="W59" s="51"/>
      <c r="AB59" s="21"/>
      <c r="AM59" t="s">
        <v>430</v>
      </c>
      <c r="AN59" s="191">
        <v>10346993</v>
      </c>
    </row>
    <row r="60" spans="8:40" x14ac:dyDescent="0.25">
      <c r="W60" s="51"/>
      <c r="AB60" s="21"/>
      <c r="AM60" t="s">
        <v>431</v>
      </c>
      <c r="AN60" s="192">
        <v>6867185</v>
      </c>
    </row>
    <row r="61" spans="8:40" x14ac:dyDescent="0.25">
      <c r="W61" s="51"/>
      <c r="AB61" s="21"/>
      <c r="AM61" t="s">
        <v>432</v>
      </c>
      <c r="AN61" s="193">
        <v>5090533</v>
      </c>
    </row>
    <row r="62" spans="8:40" x14ac:dyDescent="0.25">
      <c r="W62" s="51"/>
      <c r="AB62" s="21"/>
      <c r="AM62" t="s">
        <v>433</v>
      </c>
      <c r="AN62" s="194">
        <v>14808550</v>
      </c>
    </row>
    <row r="63" spans="8:40" x14ac:dyDescent="0.25">
      <c r="W63" s="51"/>
      <c r="AB63" s="21"/>
      <c r="AM63" t="s">
        <v>434</v>
      </c>
      <c r="AN63" s="195">
        <v>13625023</v>
      </c>
    </row>
    <row r="64" spans="8:40" x14ac:dyDescent="0.25">
      <c r="W64" s="51"/>
      <c r="AB64" s="21"/>
      <c r="AM64" t="s">
        <v>435</v>
      </c>
      <c r="AN64" s="196">
        <v>12771763</v>
      </c>
    </row>
    <row r="65" spans="23:40" x14ac:dyDescent="0.25">
      <c r="W65" s="51"/>
      <c r="AB65" s="21"/>
      <c r="AM65" t="s">
        <v>436</v>
      </c>
      <c r="AN65" s="197">
        <v>11786137</v>
      </c>
    </row>
    <row r="66" spans="23:40" x14ac:dyDescent="0.25">
      <c r="W66" s="51"/>
      <c r="AB66" s="21"/>
      <c r="AM66" t="s">
        <v>437</v>
      </c>
      <c r="AN66" s="198">
        <v>9685631</v>
      </c>
    </row>
    <row r="67" spans="23:40" x14ac:dyDescent="0.25">
      <c r="W67" s="51"/>
      <c r="AB67" s="21"/>
      <c r="AM67" t="s">
        <v>438</v>
      </c>
      <c r="AN67" s="199">
        <v>8303693</v>
      </c>
    </row>
    <row r="68" spans="23:40" x14ac:dyDescent="0.25">
      <c r="W68" s="51"/>
      <c r="AB68" s="21"/>
      <c r="AM68" t="s">
        <v>439</v>
      </c>
      <c r="AN68" s="200">
        <v>7314714</v>
      </c>
    </row>
    <row r="69" spans="23:40" x14ac:dyDescent="0.25">
      <c r="W69" s="51"/>
      <c r="AB69" s="21"/>
      <c r="AM69" t="s">
        <v>440</v>
      </c>
      <c r="AN69" s="201">
        <v>9822387</v>
      </c>
    </row>
    <row r="70" spans="23:40" x14ac:dyDescent="0.25">
      <c r="W70" s="51"/>
      <c r="AB70" s="21"/>
      <c r="AM70" t="s">
        <v>441</v>
      </c>
      <c r="AN70" s="202">
        <v>8834982</v>
      </c>
    </row>
    <row r="71" spans="23:40" x14ac:dyDescent="0.25">
      <c r="W71" s="51"/>
      <c r="AB71" s="21"/>
      <c r="AM71" t="s">
        <v>442</v>
      </c>
      <c r="AN71" s="203">
        <v>7913625</v>
      </c>
    </row>
    <row r="72" spans="23:40" x14ac:dyDescent="0.25">
      <c r="W72" s="51"/>
      <c r="AB72" s="21"/>
      <c r="AM72" t="s">
        <v>443</v>
      </c>
      <c r="AN72" s="204">
        <v>7123084</v>
      </c>
    </row>
    <row r="73" spans="23:40" x14ac:dyDescent="0.25">
      <c r="W73" s="51"/>
      <c r="AB73" s="21"/>
      <c r="AM73"/>
      <c r="AN73"/>
    </row>
    <row r="74" spans="23:40" x14ac:dyDescent="0.25">
      <c r="W74" s="51"/>
      <c r="AB74" s="21"/>
      <c r="AM74" t="s">
        <v>444</v>
      </c>
      <c r="AN74" s="205">
        <v>7002622</v>
      </c>
    </row>
    <row r="75" spans="23:40" x14ac:dyDescent="0.25">
      <c r="W75" s="51"/>
      <c r="AB75" s="21"/>
      <c r="AM75" t="s">
        <v>445</v>
      </c>
      <c r="AN75" s="206">
        <v>6081790</v>
      </c>
    </row>
    <row r="76" spans="23:40" x14ac:dyDescent="0.25">
      <c r="W76" s="51"/>
      <c r="AB76" s="21"/>
      <c r="AM76" t="s">
        <v>446</v>
      </c>
      <c r="AN76" s="207">
        <v>5160958</v>
      </c>
    </row>
    <row r="77" spans="23:40" x14ac:dyDescent="0.25">
      <c r="W77" s="51"/>
      <c r="AB77" s="21"/>
      <c r="AM77" t="s">
        <v>447</v>
      </c>
      <c r="AN77" s="208">
        <v>10148350</v>
      </c>
    </row>
    <row r="78" spans="23:40" x14ac:dyDescent="0.25">
      <c r="W78" s="51"/>
      <c r="AB78" s="21"/>
      <c r="AM78" t="s">
        <v>448</v>
      </c>
      <c r="AN78" s="209">
        <v>9096445</v>
      </c>
    </row>
    <row r="79" spans="23:40" x14ac:dyDescent="0.25">
      <c r="W79" s="51"/>
      <c r="AB79" s="21"/>
      <c r="AM79" t="s">
        <v>449</v>
      </c>
      <c r="AN79" s="171">
        <v>8044797</v>
      </c>
    </row>
    <row r="80" spans="23:40" x14ac:dyDescent="0.25">
      <c r="W80" s="51"/>
      <c r="AB80" s="21"/>
      <c r="AM80" t="s">
        <v>450</v>
      </c>
      <c r="AN80" s="210">
        <v>10974712</v>
      </c>
    </row>
    <row r="81" spans="23:40" x14ac:dyDescent="0.25">
      <c r="W81" s="51"/>
      <c r="AB81" s="21"/>
      <c r="AM81" t="s">
        <v>451</v>
      </c>
      <c r="AN81" s="211">
        <v>9988343</v>
      </c>
    </row>
    <row r="82" spans="23:40" x14ac:dyDescent="0.25">
      <c r="W82" s="51"/>
      <c r="AB82" s="21"/>
      <c r="AM82" t="s">
        <v>452</v>
      </c>
      <c r="AN82" s="212">
        <v>9001975</v>
      </c>
    </row>
    <row r="83" spans="23:40" x14ac:dyDescent="0.25">
      <c r="W83" s="51"/>
      <c r="AB83" s="21"/>
      <c r="AM83" t="s">
        <v>453</v>
      </c>
      <c r="AN83" s="213">
        <v>8146935</v>
      </c>
    </row>
    <row r="84" spans="23:40" x14ac:dyDescent="0.25">
      <c r="W84" s="51"/>
      <c r="AB84" s="21"/>
      <c r="AM84"/>
      <c r="AN84"/>
    </row>
    <row r="85" spans="23:40" x14ac:dyDescent="0.25">
      <c r="W85" s="51"/>
      <c r="AB85" s="21"/>
      <c r="AM85" t="s">
        <v>454</v>
      </c>
      <c r="AN85" s="214">
        <v>13890303</v>
      </c>
    </row>
    <row r="86" spans="23:40" x14ac:dyDescent="0.25">
      <c r="W86" s="51"/>
      <c r="AB86" s="21"/>
      <c r="AM86" t="s">
        <v>455</v>
      </c>
      <c r="AN86" s="215">
        <v>13103871</v>
      </c>
    </row>
    <row r="87" spans="23:40" x14ac:dyDescent="0.25">
      <c r="W87" s="51"/>
      <c r="AB87" s="21"/>
      <c r="AM87" t="s">
        <v>456</v>
      </c>
      <c r="AN87" s="216">
        <v>12251903</v>
      </c>
    </row>
    <row r="88" spans="23:40" x14ac:dyDescent="0.25">
      <c r="W88" s="51"/>
      <c r="AB88" s="21"/>
      <c r="AM88" t="s">
        <v>457</v>
      </c>
      <c r="AN88" s="217">
        <v>11791871</v>
      </c>
    </row>
    <row r="89" spans="23:40" x14ac:dyDescent="0.25">
      <c r="W89" s="51"/>
      <c r="AB89" s="21"/>
      <c r="AM89" t="s">
        <v>458</v>
      </c>
      <c r="AN89" s="218">
        <v>12582911</v>
      </c>
    </row>
    <row r="90" spans="23:40" x14ac:dyDescent="0.25">
      <c r="W90" s="51"/>
      <c r="AB90" s="21"/>
      <c r="AM90" t="s">
        <v>459</v>
      </c>
      <c r="AN90" s="219">
        <v>11796479</v>
      </c>
    </row>
    <row r="91" spans="23:40" x14ac:dyDescent="0.25">
      <c r="W91" s="51"/>
      <c r="AB91" s="21"/>
      <c r="AM91" t="s">
        <v>460</v>
      </c>
      <c r="AN91" s="220">
        <v>7602175</v>
      </c>
    </row>
    <row r="92" spans="23:40" x14ac:dyDescent="0.25">
      <c r="W92" s="51"/>
      <c r="AB92" s="21"/>
      <c r="AM92" t="s">
        <v>461</v>
      </c>
      <c r="AN92" s="221">
        <v>6750207</v>
      </c>
    </row>
    <row r="93" spans="23:40" x14ac:dyDescent="0.25">
      <c r="W93" s="51"/>
      <c r="AB93" s="21"/>
      <c r="AM93" t="s">
        <v>462</v>
      </c>
      <c r="AN93" s="222">
        <v>5898239</v>
      </c>
    </row>
    <row r="94" spans="23:40" x14ac:dyDescent="0.25">
      <c r="W94" s="51"/>
      <c r="AB94" s="21"/>
      <c r="AM94" t="s">
        <v>463</v>
      </c>
      <c r="AN94" s="223">
        <v>5111807</v>
      </c>
    </row>
    <row r="95" spans="23:40" x14ac:dyDescent="0.25">
      <c r="W95" s="51"/>
      <c r="AB95" s="21"/>
      <c r="AM95" t="s">
        <v>464</v>
      </c>
      <c r="AN95" s="224">
        <v>4325375</v>
      </c>
    </row>
    <row r="96" spans="23:40" x14ac:dyDescent="0.25">
      <c r="W96" s="51"/>
      <c r="AB96" s="21"/>
      <c r="AM96" t="s">
        <v>465</v>
      </c>
      <c r="AN96" s="225">
        <v>3407871</v>
      </c>
    </row>
    <row r="97" spans="23:40" x14ac:dyDescent="0.25">
      <c r="W97" s="51"/>
      <c r="AB97" s="21"/>
      <c r="AM97" t="s">
        <v>466</v>
      </c>
      <c r="AN97" s="226">
        <v>11200254</v>
      </c>
    </row>
    <row r="98" spans="23:40" x14ac:dyDescent="0.25">
      <c r="W98" s="51"/>
      <c r="AB98" s="21"/>
      <c r="AM98" t="s">
        <v>467</v>
      </c>
      <c r="AN98" s="208">
        <v>10148350</v>
      </c>
    </row>
    <row r="99" spans="23:40" x14ac:dyDescent="0.25">
      <c r="W99" s="51"/>
      <c r="AM99" t="s">
        <v>468</v>
      </c>
      <c r="AN99" s="227">
        <v>10604029</v>
      </c>
    </row>
    <row r="100" spans="23:40" x14ac:dyDescent="0.25">
      <c r="AM100" t="s">
        <v>469</v>
      </c>
      <c r="AN100" s="228">
        <v>9552125</v>
      </c>
    </row>
    <row r="101" spans="23:40" x14ac:dyDescent="0.25">
      <c r="AM101" t="s">
        <v>470</v>
      </c>
      <c r="AN101" s="229">
        <v>8566012</v>
      </c>
    </row>
    <row r="102" spans="23:40" x14ac:dyDescent="0.25">
      <c r="AM102" t="s">
        <v>471</v>
      </c>
      <c r="AN102" s="230">
        <v>7579644</v>
      </c>
    </row>
    <row r="103" spans="23:40" x14ac:dyDescent="0.25">
      <c r="AM103" t="s">
        <v>472</v>
      </c>
      <c r="AN103" s="231">
        <v>7323645</v>
      </c>
    </row>
    <row r="104" spans="23:40" x14ac:dyDescent="0.25">
      <c r="AM104" t="s">
        <v>473</v>
      </c>
      <c r="AN104" s="232">
        <v>6668286</v>
      </c>
    </row>
    <row r="105" spans="23:40" x14ac:dyDescent="0.25">
      <c r="AM105" t="s">
        <v>474</v>
      </c>
      <c r="AN105" s="160">
        <v>6468861</v>
      </c>
    </row>
    <row r="106" spans="23:40" x14ac:dyDescent="0.25">
      <c r="AM106" t="s">
        <v>475</v>
      </c>
      <c r="AN106" s="233">
        <v>9239282</v>
      </c>
    </row>
    <row r="107" spans="23:40" x14ac:dyDescent="0.25">
      <c r="AM107" t="s">
        <v>476</v>
      </c>
      <c r="AN107" s="234">
        <v>8385766</v>
      </c>
    </row>
    <row r="108" spans="23:40" x14ac:dyDescent="0.25">
      <c r="AM108" t="s">
        <v>477</v>
      </c>
      <c r="AN108" s="235">
        <v>7663577</v>
      </c>
    </row>
    <row r="109" spans="23:40" x14ac:dyDescent="0.25">
      <c r="AM109" t="s">
        <v>478</v>
      </c>
      <c r="AN109" s="236">
        <v>6875596</v>
      </c>
    </row>
    <row r="110" spans="23:40" x14ac:dyDescent="0.25">
      <c r="AM110" t="s">
        <v>479</v>
      </c>
      <c r="AN110" s="237">
        <v>6153151</v>
      </c>
    </row>
    <row r="111" spans="23:40" x14ac:dyDescent="0.25">
      <c r="AM111" t="s">
        <v>480</v>
      </c>
      <c r="AN111" s="238">
        <v>5496499</v>
      </c>
    </row>
    <row r="112" spans="23:40" x14ac:dyDescent="0.25">
      <c r="AM112" t="s">
        <v>481</v>
      </c>
      <c r="AN112" s="239">
        <v>9956044</v>
      </c>
    </row>
    <row r="113" spans="39:40" x14ac:dyDescent="0.25">
      <c r="AM113" t="s">
        <v>482</v>
      </c>
      <c r="AN113" s="240">
        <v>9102527</v>
      </c>
    </row>
    <row r="114" spans="39:40" x14ac:dyDescent="0.25">
      <c r="AM114" t="s">
        <v>483</v>
      </c>
      <c r="AN114" s="241">
        <v>8380339</v>
      </c>
    </row>
    <row r="115" spans="39:40" x14ac:dyDescent="0.25">
      <c r="AM115" t="s">
        <v>484</v>
      </c>
      <c r="AN115" s="242">
        <v>7723430</v>
      </c>
    </row>
    <row r="116" spans="39:40" x14ac:dyDescent="0.25">
      <c r="AM116" t="s">
        <v>485</v>
      </c>
      <c r="AN116" s="243">
        <v>7000985</v>
      </c>
    </row>
    <row r="117" spans="39:40" x14ac:dyDescent="0.25">
      <c r="AM117" t="s">
        <v>486</v>
      </c>
      <c r="AN117" s="244">
        <v>6344076</v>
      </c>
    </row>
    <row r="118" spans="39:40" x14ac:dyDescent="0.25">
      <c r="AM118" t="s">
        <v>487</v>
      </c>
      <c r="AN118" s="245">
        <v>16249305</v>
      </c>
    </row>
    <row r="119" spans="39:40" x14ac:dyDescent="0.25">
      <c r="AM119" t="s">
        <v>488</v>
      </c>
      <c r="AN119" s="246">
        <v>16051404</v>
      </c>
    </row>
    <row r="120" spans="39:40" x14ac:dyDescent="0.25">
      <c r="AM120" t="s">
        <v>489</v>
      </c>
      <c r="AN120" s="247">
        <v>15853503</v>
      </c>
    </row>
    <row r="121" spans="39:40" x14ac:dyDescent="0.25">
      <c r="AM121" t="s">
        <v>490</v>
      </c>
      <c r="AN121" s="248">
        <v>15067071</v>
      </c>
    </row>
    <row r="122" spans="39:40" x14ac:dyDescent="0.25">
      <c r="AM122" t="s">
        <v>491</v>
      </c>
      <c r="AN122" s="249">
        <v>14934707</v>
      </c>
    </row>
    <row r="123" spans="39:40" x14ac:dyDescent="0.25">
      <c r="AM123" t="s">
        <v>492</v>
      </c>
      <c r="AN123" s="250">
        <v>14736806</v>
      </c>
    </row>
    <row r="124" spans="39:40" x14ac:dyDescent="0.25">
      <c r="AM124" t="s">
        <v>493</v>
      </c>
      <c r="AN124" s="139">
        <v>14539162</v>
      </c>
    </row>
    <row r="125" spans="39:40" x14ac:dyDescent="0.25">
      <c r="AM125" t="s">
        <v>494</v>
      </c>
      <c r="AN125" s="251">
        <v>14929561</v>
      </c>
    </row>
    <row r="126" spans="39:40" x14ac:dyDescent="0.25">
      <c r="AM126" t="s">
        <v>495</v>
      </c>
      <c r="AN126" s="252">
        <v>14534016</v>
      </c>
    </row>
    <row r="127" spans="39:40" x14ac:dyDescent="0.25">
      <c r="AM127" t="s">
        <v>496</v>
      </c>
      <c r="AN127" s="253">
        <v>14204007</v>
      </c>
    </row>
    <row r="128" spans="39:40" x14ac:dyDescent="0.25">
      <c r="AM128" t="s">
        <v>497</v>
      </c>
      <c r="AN128" s="254">
        <v>13873998</v>
      </c>
    </row>
    <row r="129" spans="39:40" x14ac:dyDescent="0.25">
      <c r="AM129" t="s">
        <v>498</v>
      </c>
      <c r="AN129" s="255">
        <v>14399971</v>
      </c>
    </row>
    <row r="130" spans="39:40" x14ac:dyDescent="0.25">
      <c r="AM130" t="s">
        <v>499</v>
      </c>
      <c r="AN130" s="256">
        <v>13871830</v>
      </c>
    </row>
    <row r="131" spans="39:40" x14ac:dyDescent="0.25">
      <c r="AM131" t="s">
        <v>500</v>
      </c>
      <c r="AN131" s="257">
        <v>13343689</v>
      </c>
    </row>
    <row r="132" spans="39:40" x14ac:dyDescent="0.25">
      <c r="AM132" t="s">
        <v>501</v>
      </c>
      <c r="AN132" s="258">
        <v>12551113</v>
      </c>
    </row>
    <row r="133" spans="39:40" x14ac:dyDescent="0.25">
      <c r="AM133" t="s">
        <v>502</v>
      </c>
      <c r="AN133" s="259">
        <v>12023228</v>
      </c>
    </row>
    <row r="134" spans="39:40" x14ac:dyDescent="0.25">
      <c r="AM134" t="s">
        <v>503</v>
      </c>
      <c r="AN134" s="260">
        <v>10834352</v>
      </c>
    </row>
    <row r="135" spans="39:40" x14ac:dyDescent="0.25">
      <c r="AM135" t="s">
        <v>504</v>
      </c>
      <c r="AN135" s="261">
        <v>10438308</v>
      </c>
    </row>
    <row r="136" spans="39:40" x14ac:dyDescent="0.25">
      <c r="AM136" t="s">
        <v>505</v>
      </c>
      <c r="AN136" s="262">
        <v>11714812</v>
      </c>
    </row>
    <row r="137" spans="39:40" x14ac:dyDescent="0.25">
      <c r="AM137" t="s">
        <v>506</v>
      </c>
      <c r="AN137" s="263">
        <v>10663164</v>
      </c>
    </row>
    <row r="138" spans="39:40" x14ac:dyDescent="0.25">
      <c r="AM138" t="s">
        <v>507</v>
      </c>
      <c r="AN138" s="264">
        <v>8755963</v>
      </c>
    </row>
    <row r="139" spans="39:40" x14ac:dyDescent="0.25">
      <c r="AM139" t="s">
        <v>508</v>
      </c>
      <c r="AN139" s="265">
        <v>7769595</v>
      </c>
    </row>
    <row r="140" spans="39:40" x14ac:dyDescent="0.25">
      <c r="AM140" t="s">
        <v>509</v>
      </c>
      <c r="AN140" s="266">
        <v>6914299</v>
      </c>
    </row>
    <row r="141" spans="39:40" x14ac:dyDescent="0.25">
      <c r="AM141" t="s">
        <v>510</v>
      </c>
      <c r="AN141" s="267">
        <v>7768035</v>
      </c>
    </row>
    <row r="142" spans="39:40" x14ac:dyDescent="0.25">
      <c r="AM142" t="s">
        <v>511</v>
      </c>
      <c r="AN142" s="268">
        <v>6847459</v>
      </c>
    </row>
    <row r="143" spans="39:40" x14ac:dyDescent="0.25">
      <c r="AM143" t="s">
        <v>512</v>
      </c>
      <c r="AN143" s="269">
        <v>6057955</v>
      </c>
    </row>
    <row r="144" spans="39:40" x14ac:dyDescent="0.25">
      <c r="AM144" t="s">
        <v>513</v>
      </c>
      <c r="AN144" s="270">
        <v>5268451</v>
      </c>
    </row>
    <row r="145" spans="39:40" x14ac:dyDescent="0.25">
      <c r="AM145" t="s">
        <v>514</v>
      </c>
      <c r="AN145" s="271">
        <v>13096140</v>
      </c>
    </row>
    <row r="146" spans="39:40" x14ac:dyDescent="0.25">
      <c r="AM146" t="s">
        <v>515</v>
      </c>
      <c r="AN146" s="272">
        <v>12964031</v>
      </c>
    </row>
    <row r="147" spans="39:40" x14ac:dyDescent="0.25">
      <c r="AM147" t="s">
        <v>516</v>
      </c>
      <c r="AN147" s="273">
        <v>12176307</v>
      </c>
    </row>
    <row r="148" spans="39:40" x14ac:dyDescent="0.25">
      <c r="AM148" t="s">
        <v>517</v>
      </c>
      <c r="AN148" s="165">
        <v>11911833</v>
      </c>
    </row>
    <row r="149" spans="39:40" x14ac:dyDescent="0.25">
      <c r="AM149" t="s">
        <v>518</v>
      </c>
      <c r="AN149" s="274">
        <v>7062207</v>
      </c>
    </row>
    <row r="150" spans="39:40" x14ac:dyDescent="0.25">
      <c r="AM150" t="s">
        <v>519</v>
      </c>
      <c r="AN150" s="275">
        <v>7125414</v>
      </c>
    </row>
    <row r="151" spans="39:40" x14ac:dyDescent="0.25">
      <c r="AM151" t="s">
        <v>520</v>
      </c>
      <c r="AN151" s="204">
        <v>7123084</v>
      </c>
    </row>
    <row r="152" spans="39:40" x14ac:dyDescent="0.25">
      <c r="AM152" t="s">
        <v>521</v>
      </c>
      <c r="AN152" s="276">
        <v>12971506</v>
      </c>
    </row>
    <row r="153" spans="39:40" x14ac:dyDescent="0.25">
      <c r="AM153" t="s">
        <v>522</v>
      </c>
      <c r="AN153" s="277">
        <v>11398642</v>
      </c>
    </row>
    <row r="154" spans="39:40" x14ac:dyDescent="0.25">
      <c r="AM154" t="s">
        <v>523</v>
      </c>
      <c r="AN154" s="278">
        <v>8774129</v>
      </c>
    </row>
    <row r="155" spans="39:40" x14ac:dyDescent="0.25">
      <c r="AM155" t="s">
        <v>524</v>
      </c>
      <c r="AN155" s="279">
        <v>7788017</v>
      </c>
    </row>
    <row r="156" spans="39:40" x14ac:dyDescent="0.25">
      <c r="AM156" t="s">
        <v>525</v>
      </c>
      <c r="AN156" s="280">
        <v>7721189</v>
      </c>
    </row>
    <row r="157" spans="39:40" x14ac:dyDescent="0.25">
      <c r="AM157" t="s">
        <v>526</v>
      </c>
      <c r="AN157" s="281">
        <v>6866149</v>
      </c>
    </row>
    <row r="158" spans="39:40" x14ac:dyDescent="0.25">
      <c r="AM158" t="s">
        <v>527</v>
      </c>
      <c r="AN158" s="282">
        <v>5945317</v>
      </c>
    </row>
    <row r="159" spans="39:40" x14ac:dyDescent="0.25">
      <c r="AM159" t="s">
        <v>528</v>
      </c>
      <c r="AN159" s="283">
        <v>14676185</v>
      </c>
    </row>
    <row r="160" spans="39:40" x14ac:dyDescent="0.25">
      <c r="AM160" t="s">
        <v>529</v>
      </c>
      <c r="AN160" s="284">
        <v>14544076</v>
      </c>
    </row>
    <row r="161" spans="39:40" x14ac:dyDescent="0.25">
      <c r="AM161" t="s">
        <v>530</v>
      </c>
      <c r="AN161" s="285">
        <v>13757388</v>
      </c>
    </row>
    <row r="162" spans="39:40" x14ac:dyDescent="0.25">
      <c r="AM162" t="s">
        <v>531</v>
      </c>
      <c r="AN162" s="286">
        <v>12838591</v>
      </c>
    </row>
    <row r="163" spans="39:40" x14ac:dyDescent="0.25">
      <c r="AM163" t="s">
        <v>532</v>
      </c>
      <c r="AN163" s="195">
        <v>13625023</v>
      </c>
    </row>
    <row r="164" spans="39:40" x14ac:dyDescent="0.25">
      <c r="AM164" t="s">
        <v>533</v>
      </c>
      <c r="AN164" s="196">
        <v>12771763</v>
      </c>
    </row>
    <row r="165" spans="39:40" x14ac:dyDescent="0.25">
      <c r="AM165" t="s">
        <v>534</v>
      </c>
      <c r="AN165" s="287">
        <v>11918502</v>
      </c>
    </row>
    <row r="166" spans="39:40" x14ac:dyDescent="0.25">
      <c r="AM166" t="s">
        <v>535</v>
      </c>
      <c r="AN166" s="288">
        <v>11262886</v>
      </c>
    </row>
    <row r="167" spans="39:40" x14ac:dyDescent="0.25">
      <c r="AM167" t="s">
        <v>536</v>
      </c>
      <c r="AN167" s="289">
        <v>10475161</v>
      </c>
    </row>
    <row r="168" spans="39:40" x14ac:dyDescent="0.25">
      <c r="AM168" t="s">
        <v>537</v>
      </c>
      <c r="AN168" s="290">
        <v>9752716</v>
      </c>
    </row>
    <row r="169" spans="39:40" x14ac:dyDescent="0.25">
      <c r="AM169" t="s">
        <v>538</v>
      </c>
      <c r="AN169" s="291">
        <v>10274420</v>
      </c>
    </row>
    <row r="170" spans="39:40" x14ac:dyDescent="0.25">
      <c r="AM170" t="s">
        <v>539</v>
      </c>
      <c r="AN170" s="292">
        <v>9617510</v>
      </c>
    </row>
    <row r="171" spans="39:40" x14ac:dyDescent="0.25">
      <c r="AM171" t="s">
        <v>540</v>
      </c>
      <c r="AN171" s="293">
        <v>8892481</v>
      </c>
    </row>
    <row r="172" spans="39:40" x14ac:dyDescent="0.25">
      <c r="AM172" t="s">
        <v>541</v>
      </c>
      <c r="AN172" s="294">
        <v>8300851</v>
      </c>
    </row>
    <row r="173" spans="39:40" x14ac:dyDescent="0.25">
      <c r="AM173" t="s">
        <v>542</v>
      </c>
      <c r="AN173" s="295">
        <v>13235686</v>
      </c>
    </row>
    <row r="174" spans="39:40" x14ac:dyDescent="0.25">
      <c r="AM174" t="s">
        <v>543</v>
      </c>
      <c r="AN174" s="296">
        <v>12316889</v>
      </c>
    </row>
    <row r="175" spans="39:40" x14ac:dyDescent="0.25">
      <c r="AM175" t="s">
        <v>544</v>
      </c>
      <c r="AN175" s="297">
        <v>11463628</v>
      </c>
    </row>
    <row r="176" spans="39:40" x14ac:dyDescent="0.25">
      <c r="AM176" t="s">
        <v>545</v>
      </c>
      <c r="AN176" s="298">
        <v>11198412</v>
      </c>
    </row>
    <row r="177" spans="39:40" x14ac:dyDescent="0.25">
      <c r="AM177" t="s">
        <v>546</v>
      </c>
      <c r="AN177" s="299">
        <v>10344895</v>
      </c>
    </row>
    <row r="178" spans="39:40" x14ac:dyDescent="0.25">
      <c r="AM178" t="s">
        <v>547</v>
      </c>
      <c r="AN178" s="300">
        <v>9622707</v>
      </c>
    </row>
    <row r="179" spans="39:40" x14ac:dyDescent="0.25">
      <c r="AM179" t="s">
        <v>548</v>
      </c>
      <c r="AN179" s="301">
        <v>9358003</v>
      </c>
    </row>
    <row r="180" spans="39:40" x14ac:dyDescent="0.25">
      <c r="AM180" t="s">
        <v>549</v>
      </c>
      <c r="AN180" s="302">
        <v>8635814</v>
      </c>
    </row>
    <row r="181" spans="39:40" x14ac:dyDescent="0.25">
      <c r="AM181" t="s">
        <v>550</v>
      </c>
      <c r="AN181" s="303">
        <v>8436390</v>
      </c>
    </row>
    <row r="182" spans="39:40" x14ac:dyDescent="0.25">
      <c r="AM182" t="s">
        <v>551</v>
      </c>
      <c r="AN182" s="304">
        <v>7714201</v>
      </c>
    </row>
    <row r="183" spans="39:40" x14ac:dyDescent="0.25">
      <c r="AM183"/>
      <c r="AN183"/>
    </row>
    <row r="184" spans="39:40" x14ac:dyDescent="0.25">
      <c r="AM184" t="s">
        <v>552</v>
      </c>
      <c r="AN184" s="167">
        <v>15528702</v>
      </c>
    </row>
    <row r="185" spans="39:40" x14ac:dyDescent="0.25">
      <c r="AM185" t="s">
        <v>553</v>
      </c>
      <c r="AN185" s="167">
        <v>15528702</v>
      </c>
    </row>
    <row r="186" spans="39:40" x14ac:dyDescent="0.25">
      <c r="AM186" t="s">
        <v>554</v>
      </c>
      <c r="AN186" s="167">
        <v>15528702</v>
      </c>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G33" sqref="G33"/>
    </sheetView>
  </sheetViews>
  <sheetFormatPr baseColWidth="10" defaultRowHeight="15" x14ac:dyDescent="0.25"/>
  <cols>
    <col min="1" max="1" width="13.140625" customWidth="1"/>
    <col min="2" max="9" width="13.42578125" customWidth="1"/>
    <col min="10" max="10" width="15.28515625" customWidth="1"/>
  </cols>
  <sheetData>
    <row r="1" spans="1:21" s="14" customFormat="1" ht="34.5" customHeight="1" x14ac:dyDescent="0.25">
      <c r="A1" s="16" t="s">
        <v>137</v>
      </c>
      <c r="B1" s="22" t="s">
        <v>21</v>
      </c>
      <c r="C1" s="23" t="s">
        <v>25</v>
      </c>
      <c r="D1" s="98"/>
      <c r="E1" s="22" t="s">
        <v>22</v>
      </c>
      <c r="F1" s="23" t="s">
        <v>25</v>
      </c>
      <c r="G1" s="98"/>
      <c r="H1" s="22" t="s">
        <v>23</v>
      </c>
      <c r="I1" s="22" t="s">
        <v>24</v>
      </c>
      <c r="J1" s="101" t="s">
        <v>325</v>
      </c>
      <c r="K1" s="98"/>
      <c r="L1" s="22" t="s">
        <v>326</v>
      </c>
      <c r="M1" s="23" t="s">
        <v>25</v>
      </c>
      <c r="N1" s="98"/>
      <c r="O1" s="22" t="s">
        <v>327</v>
      </c>
      <c r="P1" s="23" t="s">
        <v>25</v>
      </c>
      <c r="Q1" s="22" t="s">
        <v>328</v>
      </c>
      <c r="R1" s="23" t="s">
        <v>25</v>
      </c>
      <c r="S1" s="98"/>
      <c r="T1" s="101" t="s">
        <v>329</v>
      </c>
      <c r="U1" s="103"/>
    </row>
    <row r="2" spans="1:21" s="1" customFormat="1" ht="15.75" thickBot="1" x14ac:dyDescent="0.3">
      <c r="A2" s="26"/>
      <c r="B2" s="24" t="s">
        <v>26</v>
      </c>
      <c r="C2" s="25" t="s">
        <v>297</v>
      </c>
      <c r="D2" s="99"/>
      <c r="E2" s="24" t="s">
        <v>26</v>
      </c>
      <c r="F2" s="25" t="s">
        <v>26</v>
      </c>
      <c r="G2" s="99"/>
      <c r="H2" s="24" t="s">
        <v>26</v>
      </c>
      <c r="I2" s="24" t="s">
        <v>26</v>
      </c>
      <c r="J2" s="102" t="s">
        <v>26</v>
      </c>
      <c r="K2" s="99"/>
      <c r="L2" s="24" t="s">
        <v>26</v>
      </c>
      <c r="M2" s="25" t="s">
        <v>26</v>
      </c>
      <c r="N2" s="99"/>
      <c r="O2" s="24" t="s">
        <v>26</v>
      </c>
      <c r="P2" s="25" t="s">
        <v>26</v>
      </c>
      <c r="Q2" s="24" t="s">
        <v>26</v>
      </c>
      <c r="R2" s="25" t="s">
        <v>26</v>
      </c>
      <c r="S2" s="99"/>
      <c r="T2" s="102" t="s">
        <v>26</v>
      </c>
    </row>
    <row r="3" spans="1:21" x14ac:dyDescent="0.25">
      <c r="A3" s="15"/>
      <c r="B3" s="15"/>
      <c r="C3" s="15"/>
      <c r="D3" s="15"/>
      <c r="E3" s="15"/>
      <c r="F3" s="15"/>
      <c r="G3" s="15"/>
      <c r="H3" s="15"/>
      <c r="I3" s="15"/>
      <c r="J3" s="15"/>
      <c r="K3" s="15"/>
      <c r="L3" s="15"/>
      <c r="M3" s="15"/>
      <c r="N3" s="15"/>
      <c r="O3" s="15"/>
      <c r="P3" s="15"/>
      <c r="Q3" s="15"/>
      <c r="R3" s="15"/>
      <c r="S3" s="15"/>
      <c r="T3" s="15"/>
    </row>
    <row r="4" spans="1:21" x14ac:dyDescent="0.25">
      <c r="A4" t="s">
        <v>6</v>
      </c>
      <c r="B4" s="97">
        <v>13.7608230128917</v>
      </c>
      <c r="C4" s="97">
        <v>2.0297334930749766</v>
      </c>
      <c r="D4" s="97"/>
      <c r="E4" s="100">
        <v>215476.62089286899</v>
      </c>
      <c r="F4" s="100">
        <v>15179.628081633611</v>
      </c>
      <c r="H4" s="97">
        <v>11.01650517697548</v>
      </c>
      <c r="I4" s="97">
        <v>215.37285076424095</v>
      </c>
      <c r="J4" s="97">
        <v>189.09266964376576</v>
      </c>
      <c r="L4" s="97">
        <v>62.260102536525224</v>
      </c>
      <c r="M4" s="97">
        <v>2.5274283080133513</v>
      </c>
      <c r="O4" s="97">
        <v>19.550015844804456</v>
      </c>
      <c r="P4" s="97">
        <v>0.79362643900692176</v>
      </c>
      <c r="Q4" s="97">
        <v>0.87797820836181917</v>
      </c>
      <c r="R4" s="97">
        <v>3.5641235514038895E-2</v>
      </c>
      <c r="T4" s="97">
        <v>28.669873349404483</v>
      </c>
    </row>
    <row r="5" spans="1:21" x14ac:dyDescent="0.25">
      <c r="A5" t="s">
        <v>7</v>
      </c>
      <c r="B5" s="97">
        <v>15.985269162636991</v>
      </c>
      <c r="C5" s="97">
        <v>2.0297534003956152</v>
      </c>
      <c r="D5" s="97"/>
      <c r="E5" s="100">
        <v>225868.54523735572</v>
      </c>
      <c r="F5" s="100">
        <v>13924.526523816456</v>
      </c>
      <c r="H5" s="97">
        <v>11.606086064568439</v>
      </c>
      <c r="I5" s="97">
        <v>222.34650223684724</v>
      </c>
      <c r="J5" s="97">
        <v>195.82743556969584</v>
      </c>
      <c r="L5" s="97">
        <v>64.509680374571744</v>
      </c>
      <c r="M5" s="97">
        <v>2.6187748619744258</v>
      </c>
      <c r="O5" s="97">
        <v>19.157750597390127</v>
      </c>
      <c r="P5" s="97">
        <v>0.77771018837967476</v>
      </c>
      <c r="Q5" s="97">
        <v>0.88073090244116881</v>
      </c>
      <c r="R5" s="97">
        <v>3.5753330881269224E-2</v>
      </c>
      <c r="T5" s="97">
        <v>29.004603684365676</v>
      </c>
    </row>
    <row r="6" spans="1:21" x14ac:dyDescent="0.25">
      <c r="A6" t="s">
        <v>8</v>
      </c>
      <c r="B6" s="97">
        <v>5.6333813339514434</v>
      </c>
      <c r="C6" s="97">
        <v>2.0296835779285889</v>
      </c>
      <c r="D6" s="97"/>
      <c r="E6" s="100">
        <v>299709.13015404076</v>
      </c>
      <c r="F6" s="100">
        <v>152944.39530260599</v>
      </c>
      <c r="H6" s="97">
        <v>10.262214923512031</v>
      </c>
      <c r="I6" s="97">
        <v>210.04397375641574</v>
      </c>
      <c r="J6" s="97">
        <v>185.39242365189688</v>
      </c>
      <c r="L6" s="97">
        <v>60.239126139106048</v>
      </c>
      <c r="M6" s="97">
        <v>2.4453273014662464</v>
      </c>
      <c r="O6" s="97">
        <v>20.467703641167994</v>
      </c>
      <c r="P6" s="97">
        <v>0.83085923916775728</v>
      </c>
      <c r="Q6" s="97">
        <v>0.88263624200374913</v>
      </c>
      <c r="R6" s="97">
        <v>3.582944571359227E-2</v>
      </c>
      <c r="T6" s="97">
        <v>41.21500734247924</v>
      </c>
    </row>
    <row r="7" spans="1:21" x14ac:dyDescent="0.25">
      <c r="A7" t="s">
        <v>9</v>
      </c>
      <c r="B7" s="97">
        <v>8.6669787640586797</v>
      </c>
      <c r="C7" s="97">
        <v>2.0296984411926249</v>
      </c>
      <c r="D7" s="97"/>
      <c r="E7" s="100">
        <v>258246.80968272348</v>
      </c>
      <c r="F7" s="100">
        <v>23232.574361835341</v>
      </c>
      <c r="H7" s="97">
        <v>9.8017252852326724</v>
      </c>
      <c r="I7" s="97">
        <v>194.74406008685546</v>
      </c>
      <c r="J7" s="97">
        <v>184.83614110565105</v>
      </c>
      <c r="L7" s="97">
        <v>56.154283297633448</v>
      </c>
      <c r="M7" s="97">
        <v>2.2795252255099134</v>
      </c>
      <c r="O7" s="97">
        <v>19.86834505352418</v>
      </c>
      <c r="P7" s="97">
        <v>0.80653497968430454</v>
      </c>
      <c r="Q7" s="97">
        <v>0.94912338288117493</v>
      </c>
      <c r="R7" s="97">
        <v>3.8528685014667829E-2</v>
      </c>
      <c r="T7" s="97">
        <v>38.096670805723427</v>
      </c>
    </row>
    <row r="8" spans="1:21" x14ac:dyDescent="0.25">
      <c r="A8" t="s">
        <v>10</v>
      </c>
      <c r="B8" s="97">
        <v>7.6595834032362502</v>
      </c>
      <c r="C8" s="97">
        <v>2.0296987339259513</v>
      </c>
      <c r="D8" s="97"/>
      <c r="E8" s="100">
        <v>248145.21798997698</v>
      </c>
      <c r="F8" s="100">
        <v>25558.842027340572</v>
      </c>
      <c r="H8" s="97">
        <v>12.585000496395157</v>
      </c>
      <c r="I8" s="97">
        <v>200.81170023228279</v>
      </c>
      <c r="J8" s="97">
        <v>184.16779478716938</v>
      </c>
      <c r="L8" s="97">
        <v>60.373803423976454</v>
      </c>
      <c r="M8" s="97">
        <v>2.4508126474387852</v>
      </c>
      <c r="O8" s="97">
        <v>15.956431649708971</v>
      </c>
      <c r="P8" s="97">
        <v>0.64773498234780558</v>
      </c>
      <c r="Q8" s="97">
        <v>0.91711685411825561</v>
      </c>
      <c r="R8" s="97">
        <v>3.7229418353319492E-2</v>
      </c>
      <c r="T8" s="97">
        <v>34.048612442467487</v>
      </c>
    </row>
    <row r="9" spans="1:21" x14ac:dyDescent="0.25">
      <c r="A9" t="s">
        <v>11</v>
      </c>
      <c r="B9" s="97">
        <v>8.3767631515443739</v>
      </c>
      <c r="C9" s="97">
        <v>2.0297404194436339</v>
      </c>
      <c r="D9" s="97"/>
      <c r="E9" s="100">
        <v>219343.33994695079</v>
      </c>
      <c r="F9" s="100">
        <v>23600.145253519557</v>
      </c>
      <c r="H9" s="97">
        <v>10.652991722217719</v>
      </c>
      <c r="I9" s="97">
        <v>206.49435232218886</v>
      </c>
      <c r="J9" s="97">
        <v>181.3057215963772</v>
      </c>
      <c r="L9" s="97">
        <v>59.784140760803353</v>
      </c>
      <c r="M9" s="97">
        <v>2.4269257388782051</v>
      </c>
      <c r="O9" s="97">
        <v>19.383695933183482</v>
      </c>
      <c r="P9" s="97">
        <v>0.78687742227575397</v>
      </c>
      <c r="Q9" s="97">
        <v>0.87801782255763405</v>
      </c>
      <c r="R9" s="97">
        <v>3.564296526874236E-2</v>
      </c>
      <c r="T9" s="97">
        <v>30.393042071476223</v>
      </c>
    </row>
    <row r="10" spans="1:21" x14ac:dyDescent="0.25">
      <c r="A10" t="s">
        <v>332</v>
      </c>
      <c r="B10" s="97">
        <v>8.2415037136018121</v>
      </c>
      <c r="C10" s="97">
        <v>2.0297454107768007</v>
      </c>
      <c r="D10" s="97"/>
      <c r="E10" s="100">
        <v>290030.39964950929</v>
      </c>
      <c r="F10" s="100">
        <v>25606.346259667804</v>
      </c>
      <c r="H10" s="97">
        <v>10.827896281566307</v>
      </c>
      <c r="I10" s="97">
        <v>225.47929884954192</v>
      </c>
      <c r="J10" s="97">
        <v>193.99670050280213</v>
      </c>
      <c r="L10" s="97">
        <v>64.471201042313311</v>
      </c>
      <c r="M10" s="97">
        <v>2.6172024888580783</v>
      </c>
      <c r="O10" s="97">
        <v>20.823924886813312</v>
      </c>
      <c r="P10" s="97">
        <v>0.84534531946740255</v>
      </c>
      <c r="Q10" s="97">
        <v>0.86037477272914742</v>
      </c>
      <c r="R10" s="97">
        <v>3.4926834929902395E-2</v>
      </c>
      <c r="T10" s="97">
        <v>37.265875401365456</v>
      </c>
    </row>
    <row r="11" spans="1:21" x14ac:dyDescent="0.25">
      <c r="A11" t="s">
        <v>333</v>
      </c>
      <c r="B11" s="97">
        <v>13.291520007969744</v>
      </c>
      <c r="C11" s="97">
        <v>2.0297127333128153</v>
      </c>
      <c r="D11" s="97"/>
      <c r="E11" s="100">
        <v>169604.59873594553</v>
      </c>
      <c r="F11" s="100">
        <v>15806.255403488482</v>
      </c>
      <c r="H11" s="97">
        <v>13.241608863238202</v>
      </c>
      <c r="I11" s="97">
        <v>198.1236223125824</v>
      </c>
      <c r="J11" s="97">
        <v>177.79177574744463</v>
      </c>
      <c r="L11" s="97">
        <v>60.385863590982261</v>
      </c>
      <c r="M11" s="97">
        <v>2.4513191248541486</v>
      </c>
      <c r="O11" s="97">
        <v>14.96220167495053</v>
      </c>
      <c r="P11" s="97">
        <v>0.60737942516082843</v>
      </c>
      <c r="Q11" s="97">
        <v>0.89737797882041581</v>
      </c>
      <c r="R11" s="97">
        <v>3.6428390204126318E-2</v>
      </c>
      <c r="T11" s="97">
        <v>23.267335566736783</v>
      </c>
    </row>
    <row r="12" spans="1:21" x14ac:dyDescent="0.25">
      <c r="A12" t="s">
        <v>334</v>
      </c>
      <c r="B12" s="97">
        <v>7.0621607642589375</v>
      </c>
      <c r="C12" s="97">
        <v>2.0296642311833724</v>
      </c>
      <c r="D12" s="97"/>
      <c r="E12" s="100">
        <v>222578.79373083523</v>
      </c>
      <c r="F12" s="100">
        <v>27834.190961872038</v>
      </c>
      <c r="H12" s="97">
        <v>11.361013848373974</v>
      </c>
      <c r="I12" s="97">
        <v>207.92181701088413</v>
      </c>
      <c r="J12" s="97">
        <v>221.75278743686272</v>
      </c>
      <c r="L12" s="97">
        <v>60.880349255241704</v>
      </c>
      <c r="M12" s="97">
        <v>2.4713333453063067</v>
      </c>
      <c r="O12" s="97">
        <v>18.301343505592381</v>
      </c>
      <c r="P12" s="97">
        <v>0.74291164591801928</v>
      </c>
      <c r="Q12" s="97">
        <v>1.0665200536663961</v>
      </c>
      <c r="R12" s="97">
        <v>4.3293552095329098E-2</v>
      </c>
      <c r="T12" s="97">
        <v>30.286153736604074</v>
      </c>
    </row>
    <row r="13" spans="1:21" x14ac:dyDescent="0.25">
      <c r="A13" t="s">
        <v>335</v>
      </c>
      <c r="B13" s="97">
        <v>8.9312709892663484</v>
      </c>
      <c r="C13" s="97">
        <v>2.0297333757067015</v>
      </c>
      <c r="D13" s="97"/>
      <c r="E13" s="100">
        <v>245589.20347826357</v>
      </c>
      <c r="F13" s="100">
        <v>23459.039132862796</v>
      </c>
      <c r="H13" s="97">
        <v>11.946532017050634</v>
      </c>
      <c r="I13" s="97">
        <v>238.75519745738953</v>
      </c>
      <c r="J13" s="97">
        <v>199.75629299296887</v>
      </c>
      <c r="L13" s="97">
        <v>68.741263389433513</v>
      </c>
      <c r="M13" s="97">
        <v>2.7905287317955678</v>
      </c>
      <c r="O13" s="97">
        <v>19.985314325247465</v>
      </c>
      <c r="P13" s="97">
        <v>0.81129719019888069</v>
      </c>
      <c r="Q13" s="97">
        <v>0.83665735917065942</v>
      </c>
      <c r="R13" s="97">
        <v>3.396382731878634E-2</v>
      </c>
      <c r="T13" s="97">
        <v>29.595559219218064</v>
      </c>
    </row>
    <row r="14" spans="1:21" x14ac:dyDescent="0.25">
      <c r="A14" t="s">
        <v>336</v>
      </c>
      <c r="B14" s="97">
        <v>9.0254895062243641</v>
      </c>
      <c r="C14" s="97">
        <v>2.0297246930248916</v>
      </c>
      <c r="D14" s="97"/>
      <c r="E14" s="100">
        <v>234449.6397648025</v>
      </c>
      <c r="F14" s="100">
        <v>23077.017051393679</v>
      </c>
      <c r="H14" s="97">
        <v>10.723145618330308</v>
      </c>
      <c r="I14" s="97">
        <v>234.64527040392687</v>
      </c>
      <c r="J14" s="97">
        <v>194.40964365624504</v>
      </c>
      <c r="L14" s="97">
        <v>66.537850116040076</v>
      </c>
      <c r="M14" s="97">
        <v>2.7010703480263136</v>
      </c>
      <c r="O14" s="97">
        <v>21.882130370664804</v>
      </c>
      <c r="P14" s="97">
        <v>0.88829400698656558</v>
      </c>
      <c r="Q14" s="97">
        <v>0.82852572873760133</v>
      </c>
      <c r="R14" s="97">
        <v>3.3633582608503049E-2</v>
      </c>
      <c r="T14" s="97">
        <v>29.18857892676942</v>
      </c>
    </row>
    <row r="15" spans="1:21" x14ac:dyDescent="0.25">
      <c r="A15" t="s">
        <v>337</v>
      </c>
      <c r="B15" s="97">
        <v>15.162265943526242</v>
      </c>
      <c r="C15" s="97">
        <v>2.0296951629735829</v>
      </c>
      <c r="D15" s="97"/>
      <c r="E15" s="100">
        <v>218281.08237019379</v>
      </c>
      <c r="F15" s="100">
        <v>15534.615646000491</v>
      </c>
      <c r="H15" s="97">
        <v>12.361315776637248</v>
      </c>
      <c r="I15" s="97">
        <v>211.52813201944508</v>
      </c>
      <c r="J15" s="97">
        <v>223.55840097036167</v>
      </c>
      <c r="L15" s="97">
        <v>62.737015157199828</v>
      </c>
      <c r="M15" s="97">
        <v>2.5467403240793778</v>
      </c>
      <c r="O15" s="97">
        <v>17.112104879581747</v>
      </c>
      <c r="P15" s="97">
        <v>0.69464713004767431</v>
      </c>
      <c r="Q15" s="97">
        <v>1.0568731394546171</v>
      </c>
      <c r="R15" s="97">
        <v>4.2902605980554821E-2</v>
      </c>
      <c r="T15" s="97">
        <v>28.822516784391404</v>
      </c>
    </row>
    <row r="16" spans="1:21" x14ac:dyDescent="0.25">
      <c r="A16" t="s">
        <v>338</v>
      </c>
      <c r="B16" s="97">
        <v>28.714256824892288</v>
      </c>
      <c r="C16" s="97">
        <v>2.0296865025917956</v>
      </c>
      <c r="D16" s="97"/>
      <c r="E16" s="100">
        <v>239297.07378014681</v>
      </c>
      <c r="F16" s="100">
        <v>10732.278448864137</v>
      </c>
      <c r="H16" s="97">
        <v>10.97326529764992</v>
      </c>
      <c r="I16" s="97">
        <v>200.22061498625129</v>
      </c>
      <c r="J16" s="97">
        <v>181.65397451236925</v>
      </c>
      <c r="L16" s="97">
        <v>58.618960417578627</v>
      </c>
      <c r="M16" s="97">
        <v>2.3795622551104412</v>
      </c>
      <c r="O16" s="97">
        <v>18.246220204767255</v>
      </c>
      <c r="P16" s="97">
        <v>0.74068213745867606</v>
      </c>
      <c r="Q16" s="97">
        <v>0.90726908677631923</v>
      </c>
      <c r="R16" s="97">
        <v>3.6829436392973591E-2</v>
      </c>
      <c r="T16" s="97">
        <v>33.817139686982955</v>
      </c>
    </row>
    <row r="17" spans="1:20" x14ac:dyDescent="0.25">
      <c r="A17" t="s">
        <v>339</v>
      </c>
      <c r="B17" s="97">
        <v>9.0586131312604898</v>
      </c>
      <c r="C17" s="97">
        <v>2.0296782565200999</v>
      </c>
      <c r="D17" s="97"/>
      <c r="E17" s="100">
        <v>192332.54203397792</v>
      </c>
      <c r="F17" s="100">
        <v>22792.571329636095</v>
      </c>
      <c r="H17" s="97">
        <v>11.47665200170991</v>
      </c>
      <c r="I17" s="97">
        <v>204.88129558015399</v>
      </c>
      <c r="J17" s="97">
        <v>185.50365673459493</v>
      </c>
      <c r="L17" s="97">
        <v>60.230961314084887</v>
      </c>
      <c r="M17" s="97">
        <v>2.4449894509700281</v>
      </c>
      <c r="O17" s="97">
        <v>17.852009065852016</v>
      </c>
      <c r="P17" s="97">
        <v>0.72467669272319069</v>
      </c>
      <c r="Q17" s="97">
        <v>0.90542016639104028</v>
      </c>
      <c r="R17" s="97">
        <v>3.6754232494774108E-2</v>
      </c>
      <c r="T17" s="97">
        <v>26.452777143908705</v>
      </c>
    </row>
    <row r="18" spans="1:20" x14ac:dyDescent="0.25">
      <c r="B18" s="97"/>
      <c r="C18" s="97"/>
      <c r="D18" s="97"/>
      <c r="E18" s="100"/>
      <c r="F18" s="100"/>
      <c r="H18" s="97"/>
      <c r="I18" s="97"/>
      <c r="J18" s="97"/>
      <c r="L18" s="97"/>
      <c r="M18" s="97"/>
      <c r="O18" s="97"/>
      <c r="P18" s="97"/>
      <c r="Q18" s="97"/>
      <c r="R18" s="97"/>
      <c r="T18" s="97"/>
    </row>
    <row r="19" spans="1:20" x14ac:dyDescent="0.25">
      <c r="A19" t="s">
        <v>340</v>
      </c>
      <c r="B19" s="97">
        <v>4.6965628152718555</v>
      </c>
      <c r="C19" s="97">
        <v>2.0296460763911361</v>
      </c>
      <c r="D19" s="97"/>
      <c r="E19" s="100">
        <v>43732.99907843503</v>
      </c>
      <c r="F19" s="100">
        <v>18067.569660987207</v>
      </c>
      <c r="H19" s="97">
        <v>18.813847210815222</v>
      </c>
      <c r="I19" s="97">
        <v>11.661197569562342</v>
      </c>
      <c r="J19" s="97">
        <v>196.98916230602737</v>
      </c>
      <c r="L19" s="97">
        <v>21.819724498665398</v>
      </c>
      <c r="M19" s="97">
        <v>0.88572636433303542</v>
      </c>
      <c r="O19" s="97">
        <v>0.61981993575768235</v>
      </c>
      <c r="P19" s="97">
        <v>2.516030201359172E-2</v>
      </c>
      <c r="Q19" s="97">
        <v>16.89270429824478</v>
      </c>
      <c r="R19" s="97">
        <v>0.68572421997136401</v>
      </c>
      <c r="T19" s="97">
        <v>16.608824629231503</v>
      </c>
    </row>
    <row r="20" spans="1:20" x14ac:dyDescent="0.25">
      <c r="A20" t="s">
        <v>341</v>
      </c>
      <c r="B20" s="97">
        <v>5.3280910643971797</v>
      </c>
      <c r="C20" s="97">
        <v>2.0295992452777112</v>
      </c>
      <c r="D20" s="97"/>
      <c r="E20" s="100">
        <v>94041.783364929477</v>
      </c>
      <c r="F20" s="100">
        <v>17021.758310015291</v>
      </c>
      <c r="H20" s="97">
        <v>41.268725174074802</v>
      </c>
      <c r="I20" s="97">
        <v>12.257371871856481</v>
      </c>
      <c r="J20" s="97">
        <v>233.82606171409054</v>
      </c>
      <c r="L20" s="97">
        <v>44.461432259749216</v>
      </c>
      <c r="M20" s="97">
        <v>1.8047777871670623</v>
      </c>
      <c r="O20" s="97">
        <v>0.29701358159608515</v>
      </c>
      <c r="P20" s="97">
        <v>1.2056370820892885E-2</v>
      </c>
      <c r="Q20" s="97">
        <v>19.076361895404879</v>
      </c>
      <c r="R20" s="97">
        <v>0.77434739411116471</v>
      </c>
      <c r="T20" s="97">
        <v>17.527909276843769</v>
      </c>
    </row>
    <row r="21" spans="1:20" x14ac:dyDescent="0.25">
      <c r="A21" t="s">
        <v>342</v>
      </c>
      <c r="B21" s="97">
        <v>5.8590886434501117</v>
      </c>
      <c r="C21" s="97">
        <v>2.0295559826507308</v>
      </c>
      <c r="D21" s="97"/>
      <c r="E21" s="100">
        <v>147416.55909788489</v>
      </c>
      <c r="F21" s="100">
        <v>16707.592199497129</v>
      </c>
      <c r="H21" s="97">
        <v>40.784759387966261</v>
      </c>
      <c r="I21" s="97">
        <v>14.89779770539706</v>
      </c>
      <c r="J21" s="97">
        <v>208.20171858043699</v>
      </c>
      <c r="L21" s="97">
        <v>44.571089160827931</v>
      </c>
      <c r="M21" s="97">
        <v>1.8091904131923495</v>
      </c>
      <c r="O21" s="97">
        <v>0.36527854838326512</v>
      </c>
      <c r="P21" s="97">
        <v>1.4827065264104605E-2</v>
      </c>
      <c r="Q21" s="97">
        <v>13.975335327919728</v>
      </c>
      <c r="R21" s="97">
        <v>0.567274508486592</v>
      </c>
      <c r="T21" s="97">
        <v>27.408355631686479</v>
      </c>
    </row>
    <row r="22" spans="1:20" x14ac:dyDescent="0.25">
      <c r="A22" t="s">
        <v>343</v>
      </c>
      <c r="B22" s="97">
        <v>6.0991554725990138</v>
      </c>
      <c r="C22" s="97">
        <v>2.0296356955409403</v>
      </c>
      <c r="D22" s="97"/>
      <c r="E22" s="100">
        <v>105782.48206511268</v>
      </c>
      <c r="F22" s="100">
        <v>15269.720138251763</v>
      </c>
      <c r="H22" s="97">
        <v>38.395268187276642</v>
      </c>
      <c r="I22" s="97">
        <v>10.746373359616923</v>
      </c>
      <c r="J22" s="97">
        <v>184.25690697487968</v>
      </c>
      <c r="L22" s="97">
        <v>41.16870486139927</v>
      </c>
      <c r="M22" s="97">
        <v>1.6711494585177158</v>
      </c>
      <c r="O22" s="97">
        <v>0.27988796190198345</v>
      </c>
      <c r="P22" s="97">
        <v>1.1361411964569367E-2</v>
      </c>
      <c r="Q22" s="97">
        <v>17.145961787191052</v>
      </c>
      <c r="R22" s="97">
        <v>0.69600112155327798</v>
      </c>
      <c r="T22" s="97">
        <v>21.293163425752265</v>
      </c>
    </row>
    <row r="23" spans="1:20" x14ac:dyDescent="0.25">
      <c r="A23" t="s">
        <v>344</v>
      </c>
      <c r="B23" s="97">
        <v>4.4844765347613125</v>
      </c>
      <c r="C23" s="97">
        <v>2.0296376195315879</v>
      </c>
      <c r="D23" s="97"/>
      <c r="E23" s="100">
        <v>125947.56554429613</v>
      </c>
      <c r="F23" s="100">
        <v>20367.95470523298</v>
      </c>
      <c r="H23" s="97">
        <v>35.82826106395153</v>
      </c>
      <c r="I23" s="97">
        <v>23.655815877896345</v>
      </c>
      <c r="J23" s="97">
        <v>299.35045061643251</v>
      </c>
      <c r="L23" s="97">
        <v>41.801766269794747</v>
      </c>
      <c r="M23" s="97">
        <v>1.6968487476808407</v>
      </c>
      <c r="O23" s="97">
        <v>0.66025576389744334</v>
      </c>
      <c r="P23" s="97">
        <v>2.6801598738376339E-2</v>
      </c>
      <c r="Q23" s="97">
        <v>12.654412435469675</v>
      </c>
      <c r="R23" s="97">
        <v>0.51367743064195193</v>
      </c>
      <c r="T23" s="97">
        <v>24.967379910288276</v>
      </c>
    </row>
    <row r="24" spans="1:20" x14ac:dyDescent="0.25">
      <c r="B24" s="97"/>
      <c r="C24" s="97"/>
      <c r="D24" s="97"/>
      <c r="E24" s="100"/>
      <c r="F24" s="100"/>
      <c r="H24" s="97"/>
      <c r="I24" s="97"/>
      <c r="J24" s="97"/>
      <c r="L24" s="97"/>
      <c r="M24" s="97"/>
      <c r="O24" s="97"/>
      <c r="P24" s="97"/>
      <c r="Q24" s="97"/>
      <c r="R24" s="97"/>
      <c r="T24" s="97"/>
    </row>
    <row r="25" spans="1:20" x14ac:dyDescent="0.25">
      <c r="A25" t="s">
        <v>330</v>
      </c>
      <c r="B25" s="97">
        <v>2.2969934963316612</v>
      </c>
      <c r="C25" s="97">
        <v>2.029660668522852</v>
      </c>
      <c r="D25" s="97"/>
      <c r="E25" s="100">
        <v>108622.01858169035</v>
      </c>
      <c r="F25" s="100">
        <v>38779.594543405183</v>
      </c>
      <c r="H25" s="97">
        <v>13.004051335419662</v>
      </c>
      <c r="I25" s="97">
        <v>46.836554163164763</v>
      </c>
      <c r="J25" s="97">
        <v>270.46901536668332</v>
      </c>
      <c r="L25" s="97">
        <v>24.431955931515851</v>
      </c>
      <c r="M25" s="97">
        <v>0.99177160018562638</v>
      </c>
      <c r="O25" s="97">
        <v>3.601689423940841</v>
      </c>
      <c r="P25" s="97">
        <v>0.14620414728014905</v>
      </c>
      <c r="Q25" s="97">
        <v>5.7747419766289587</v>
      </c>
      <c r="R25" s="97">
        <v>0.23441533321663419</v>
      </c>
      <c r="T25" s="97">
        <v>36.835744621312244</v>
      </c>
    </row>
    <row r="26" spans="1:20" x14ac:dyDescent="0.25">
      <c r="A26" t="s">
        <v>330</v>
      </c>
      <c r="B26" s="97">
        <v>10.788334514674945</v>
      </c>
      <c r="C26" s="97">
        <v>2.0297051169469582</v>
      </c>
      <c r="D26" s="97"/>
      <c r="E26" s="100">
        <v>181347.18045145296</v>
      </c>
      <c r="F26" s="100">
        <v>11452.438519018704</v>
      </c>
      <c r="H26" s="97">
        <v>40.48587242047509</v>
      </c>
      <c r="I26" s="97">
        <v>30.844051016573086</v>
      </c>
      <c r="J26" s="97">
        <v>340.51545388187969</v>
      </c>
      <c r="L26" s="97">
        <v>48.212846455336134</v>
      </c>
      <c r="M26" s="97">
        <v>1.9571572230594754</v>
      </c>
      <c r="O26" s="97">
        <v>0.76184726109481571</v>
      </c>
      <c r="P26" s="97">
        <v>3.0926505683523457E-2</v>
      </c>
      <c r="Q26" s="97">
        <v>11.039906972625429</v>
      </c>
      <c r="R26" s="97">
        <v>0.44815511345912468</v>
      </c>
      <c r="T26" s="97">
        <v>31.168953699035566</v>
      </c>
    </row>
    <row r="27" spans="1:20" x14ac:dyDescent="0.25">
      <c r="A27" t="s">
        <v>330</v>
      </c>
      <c r="B27" s="97">
        <v>8.2690094189599179</v>
      </c>
      <c r="C27" s="97">
        <v>2.0296667430813544</v>
      </c>
      <c r="D27" s="97"/>
      <c r="E27" s="100">
        <v>254210.58989757561</v>
      </c>
      <c r="F27" s="100">
        <v>15258.168922227875</v>
      </c>
      <c r="H27" s="97">
        <v>40.427819503379659</v>
      </c>
      <c r="I27" s="97">
        <v>29.372100081448476</v>
      </c>
      <c r="J27" s="97">
        <v>265.39620530720748</v>
      </c>
      <c r="L27" s="97">
        <v>47.713121823757199</v>
      </c>
      <c r="M27" s="97">
        <v>1.9368347314853833</v>
      </c>
      <c r="O27" s="97">
        <v>0.7265318892351601</v>
      </c>
      <c r="P27" s="97">
        <v>2.9492352267373415E-2</v>
      </c>
      <c r="Q27" s="97">
        <v>9.0356564417003558</v>
      </c>
      <c r="R27" s="97">
        <v>0.36678742763256039</v>
      </c>
      <c r="T27" s="97">
        <v>44.150088750007342</v>
      </c>
    </row>
    <row r="28" spans="1:20" x14ac:dyDescent="0.25">
      <c r="A28" t="s">
        <v>330</v>
      </c>
      <c r="B28" s="97">
        <v>4.2209091433758816</v>
      </c>
      <c r="C28" s="97">
        <v>2.029677204159821</v>
      </c>
      <c r="D28" s="97"/>
      <c r="E28" s="100">
        <v>92142.07459858738</v>
      </c>
      <c r="F28" s="100">
        <v>21613.909647584976</v>
      </c>
      <c r="H28" s="97">
        <v>31.936912407822454</v>
      </c>
      <c r="I28" s="97">
        <v>9.1138082763775312</v>
      </c>
      <c r="J28" s="97">
        <v>190.47809612566812</v>
      </c>
      <c r="L28" s="97">
        <v>34.331395204040824</v>
      </c>
      <c r="M28" s="97">
        <v>1.3936330046528695</v>
      </c>
      <c r="O28" s="97">
        <v>0.28536911020068567</v>
      </c>
      <c r="P28" s="97">
        <v>1.1584143554914071E-2</v>
      </c>
      <c r="Q28" s="97">
        <v>20.89994548375309</v>
      </c>
      <c r="R28" s="97">
        <v>0.84840285833113294</v>
      </c>
      <c r="T28" s="97">
        <v>22.241274695170354</v>
      </c>
    </row>
    <row r="29" spans="1:20" x14ac:dyDescent="0.25">
      <c r="B29" s="97"/>
      <c r="C29" s="97"/>
      <c r="D29" s="97"/>
      <c r="E29" s="100"/>
      <c r="F29" s="100"/>
      <c r="H29" s="97"/>
      <c r="I29" s="97"/>
      <c r="J29" s="97"/>
      <c r="L29" s="97"/>
      <c r="M29" s="97"/>
      <c r="O29" s="97"/>
      <c r="P29" s="97"/>
      <c r="Q29" s="97"/>
      <c r="R29" s="97"/>
      <c r="T29" s="97"/>
    </row>
    <row r="30" spans="1:20" x14ac:dyDescent="0.25">
      <c r="A30" t="s">
        <v>331</v>
      </c>
      <c r="B30" s="97">
        <v>4.9933086026838751</v>
      </c>
      <c r="C30" s="97">
        <v>2.0296029095366737</v>
      </c>
      <c r="D30" s="97"/>
      <c r="E30" s="100">
        <v>166853.60819563223</v>
      </c>
      <c r="F30" s="100">
        <v>20485.497254804715</v>
      </c>
      <c r="H30" s="97">
        <v>39.128427278682658</v>
      </c>
      <c r="I30" s="97">
        <v>28.961388809936281</v>
      </c>
      <c r="J30" s="97">
        <v>345.42839231275951</v>
      </c>
      <c r="L30" s="97">
        <v>46.415593344079397</v>
      </c>
      <c r="M30" s="97">
        <v>1.8841044659802921</v>
      </c>
      <c r="O30" s="97">
        <v>0.74016235315735712</v>
      </c>
      <c r="P30" s="97">
        <v>3.0044713309953661E-2</v>
      </c>
      <c r="Q30" s="97">
        <v>11.927203994935747</v>
      </c>
      <c r="R30" s="97">
        <v>0.48414975861518061</v>
      </c>
      <c r="T30" s="97">
        <v>29.788358340375034</v>
      </c>
    </row>
    <row r="31" spans="1:20" x14ac:dyDescent="0.25">
      <c r="A31" t="s">
        <v>345</v>
      </c>
      <c r="B31" s="97">
        <v>6.5813617414054688</v>
      </c>
      <c r="C31" s="97">
        <v>2.0296650489639205</v>
      </c>
      <c r="D31" s="97"/>
      <c r="E31" s="100">
        <v>195914.17632544774</v>
      </c>
      <c r="F31" s="100">
        <v>16923.340124553528</v>
      </c>
      <c r="H31" s="97">
        <v>51.517366966829414</v>
      </c>
      <c r="I31" s="97">
        <v>33.458966920225805</v>
      </c>
      <c r="J31" s="97">
        <v>390.32890540792056</v>
      </c>
      <c r="L31" s="97">
        <v>59.92536817364212</v>
      </c>
      <c r="M31" s="97">
        <v>2.4325685065667257</v>
      </c>
      <c r="O31" s="97">
        <v>0.64946966217759328</v>
      </c>
      <c r="P31" s="97">
        <v>2.6364117473685313E-2</v>
      </c>
      <c r="Q31" s="97">
        <v>11.665898302794529</v>
      </c>
      <c r="R31" s="97">
        <v>0.4735573209989915</v>
      </c>
      <c r="T31" s="97">
        <v>27.091529176766652</v>
      </c>
    </row>
    <row r="32" spans="1:20" x14ac:dyDescent="0.25">
      <c r="A32" t="s">
        <v>346</v>
      </c>
      <c r="B32" s="97">
        <v>5.0696051968738791</v>
      </c>
      <c r="C32" s="97">
        <v>2.0296216521489483</v>
      </c>
      <c r="D32" s="97"/>
      <c r="E32" s="100">
        <v>54504.948699894536</v>
      </c>
      <c r="F32" s="100">
        <v>17863.121994184126</v>
      </c>
      <c r="H32" s="97">
        <v>35.53036386649913</v>
      </c>
      <c r="I32" s="97">
        <v>20.989863819776048</v>
      </c>
      <c r="J32" s="97">
        <v>283.06568680115623</v>
      </c>
      <c r="L32" s="97">
        <v>40.852287047565781</v>
      </c>
      <c r="M32" s="97">
        <v>1.6582937266308706</v>
      </c>
      <c r="O32" s="97">
        <v>0.59075848191824931</v>
      </c>
      <c r="P32" s="97">
        <v>2.3980324121838436E-2</v>
      </c>
      <c r="Q32" s="97">
        <v>13.485827694339775</v>
      </c>
      <c r="R32" s="97">
        <v>0.54742255771163872</v>
      </c>
      <c r="T32" s="97">
        <v>11.056050894200364</v>
      </c>
    </row>
    <row r="33" spans="1:20" x14ac:dyDescent="0.25">
      <c r="A33" t="s">
        <v>347</v>
      </c>
      <c r="B33" s="97">
        <v>6.5654234203673187</v>
      </c>
      <c r="C33" s="97">
        <v>2.0296475349581766</v>
      </c>
      <c r="D33" s="97"/>
      <c r="E33" s="100">
        <v>189730.53402194617</v>
      </c>
      <c r="F33" s="100">
        <v>16750.836799633951</v>
      </c>
      <c r="H33" s="97">
        <v>40.708878429592062</v>
      </c>
      <c r="I33" s="97">
        <v>22.303048854595367</v>
      </c>
      <c r="J33" s="97">
        <v>391.8953405848697</v>
      </c>
      <c r="L33" s="97">
        <v>46.476628627085425</v>
      </c>
      <c r="M33" s="97">
        <v>1.8866234945226112</v>
      </c>
      <c r="O33" s="97">
        <v>0.5478669448771365</v>
      </c>
      <c r="P33" s="97">
        <v>2.2239535883098949E-2</v>
      </c>
      <c r="Q33" s="97">
        <v>17.571379731077567</v>
      </c>
      <c r="R33" s="97">
        <v>0.7132741511399131</v>
      </c>
      <c r="T33" s="97">
        <v>33.828627116640313</v>
      </c>
    </row>
    <row r="34" spans="1:20" x14ac:dyDescent="0.25">
      <c r="A34" t="s">
        <v>348</v>
      </c>
      <c r="B34" s="97">
        <v>6.5566462275688657</v>
      </c>
      <c r="C34" s="97">
        <v>2.0296717097128871</v>
      </c>
      <c r="D34" s="97"/>
      <c r="E34" s="100">
        <v>191424.31651223102</v>
      </c>
      <c r="F34" s="100">
        <v>16776.469225359862</v>
      </c>
      <c r="H34" s="97">
        <v>43.949976493259371</v>
      </c>
      <c r="I34" s="97">
        <v>27.808244006509888</v>
      </c>
      <c r="J34" s="97">
        <v>312.81895758304142</v>
      </c>
      <c r="L34" s="97">
        <v>50.923635327007929</v>
      </c>
      <c r="M34" s="97">
        <v>2.0671652395792752</v>
      </c>
      <c r="O34" s="97">
        <v>0.63272488918793512</v>
      </c>
      <c r="P34" s="97">
        <v>2.5684476152319467E-2</v>
      </c>
      <c r="Q34" s="97">
        <v>11.249144588554772</v>
      </c>
      <c r="R34" s="97">
        <v>0.45664141059718871</v>
      </c>
      <c r="T34" s="97">
        <v>31.14990867970414</v>
      </c>
    </row>
    <row r="35" spans="1:20" x14ac:dyDescent="0.25">
      <c r="B35" s="97"/>
      <c r="C35" s="97"/>
      <c r="D35" s="97"/>
      <c r="E35" s="100"/>
      <c r="F35" s="100"/>
      <c r="H35" s="97"/>
      <c r="I35" s="97"/>
      <c r="J35" s="97"/>
      <c r="L35" s="97"/>
      <c r="M35" s="97"/>
      <c r="O35" s="97"/>
      <c r="P35" s="97"/>
      <c r="Q35" s="97"/>
      <c r="R35" s="97"/>
      <c r="T35" s="97"/>
    </row>
    <row r="36" spans="1:20" x14ac:dyDescent="0.25">
      <c r="A36" t="s">
        <v>349</v>
      </c>
      <c r="B36" s="97">
        <v>4.7346039674158549</v>
      </c>
      <c r="C36" s="97">
        <v>2.0296833439804267</v>
      </c>
      <c r="D36" s="97"/>
      <c r="E36" s="100">
        <v>201981.99249396552</v>
      </c>
      <c r="F36" s="100">
        <v>20902.281514790211</v>
      </c>
      <c r="H36" s="97">
        <v>32.152813832741856</v>
      </c>
      <c r="I36" s="97">
        <v>21.102040472389003</v>
      </c>
      <c r="J36" s="97">
        <v>347.99074170213584</v>
      </c>
      <c r="L36" s="97">
        <v>37.581729140076241</v>
      </c>
      <c r="M36" s="97">
        <v>1.5255801934719315</v>
      </c>
      <c r="O36" s="97">
        <v>0.65630462646788235</v>
      </c>
      <c r="P36" s="97">
        <v>2.6641811378383125E-2</v>
      </c>
      <c r="Q36" s="97">
        <v>16.4908574674314</v>
      </c>
      <c r="R36" s="97">
        <v>0.66942437459201509</v>
      </c>
      <c r="T36" s="97">
        <v>44.536224051319216</v>
      </c>
    </row>
    <row r="37" spans="1:20" x14ac:dyDescent="0.25">
      <c r="A37" t="s">
        <v>350</v>
      </c>
      <c r="B37" s="97">
        <v>5.6655982561347189</v>
      </c>
      <c r="C37" s="97">
        <v>2.0296564061357412</v>
      </c>
      <c r="D37" s="97"/>
      <c r="E37" s="100">
        <v>126833.65559365523</v>
      </c>
      <c r="F37" s="100">
        <v>16587.558971041617</v>
      </c>
      <c r="H37" s="97">
        <v>32.434038793251283</v>
      </c>
      <c r="I37" s="97">
        <v>15.627182304247516</v>
      </c>
      <c r="J37" s="97">
        <v>303.35916120063769</v>
      </c>
      <c r="L37" s="97">
        <v>36.510991001981417</v>
      </c>
      <c r="M37" s="97">
        <v>1.4820953356307198</v>
      </c>
      <c r="O37" s="97">
        <v>0.48181425704834341</v>
      </c>
      <c r="P37" s="97">
        <v>1.9558347867714057E-2</v>
      </c>
      <c r="Q37" s="97">
        <v>19.412275053461411</v>
      </c>
      <c r="R37" s="97">
        <v>0.78800496839853973</v>
      </c>
      <c r="T37" s="97">
        <v>28.786923498018648</v>
      </c>
    </row>
    <row r="38" spans="1:20" x14ac:dyDescent="0.25">
      <c r="A38" t="s">
        <v>351</v>
      </c>
      <c r="B38" s="97">
        <v>7.2502216263110704</v>
      </c>
      <c r="C38" s="97">
        <v>2.0296449096408296</v>
      </c>
      <c r="D38" s="97"/>
      <c r="E38" s="100">
        <v>202461.87402126411</v>
      </c>
      <c r="F38" s="100">
        <v>15037.666589667473</v>
      </c>
      <c r="H38" s="97">
        <v>44.500159594494939</v>
      </c>
      <c r="I38" s="97">
        <v>27.276763124499833</v>
      </c>
      <c r="J38" s="97">
        <v>395.0861199024684</v>
      </c>
      <c r="L38" s="97">
        <v>51.449847350405676</v>
      </c>
      <c r="M38" s="97">
        <v>2.0884984155309718</v>
      </c>
      <c r="O38" s="97">
        <v>0.61295877077875038</v>
      </c>
      <c r="P38" s="97">
        <v>2.4881772978615813E-2</v>
      </c>
      <c r="Q38" s="97">
        <v>14.484347651485242</v>
      </c>
      <c r="R38" s="97">
        <v>0.58796164960610253</v>
      </c>
      <c r="T38" s="97">
        <v>32.609085897160703</v>
      </c>
    </row>
    <row r="39" spans="1:20" x14ac:dyDescent="0.25">
      <c r="A39" t="s">
        <v>352</v>
      </c>
      <c r="B39" s="97">
        <v>5.1936498207132464</v>
      </c>
      <c r="C39" s="97">
        <v>2.0297204708508243</v>
      </c>
      <c r="D39" s="97"/>
      <c r="E39" s="100">
        <v>227773.02801417935</v>
      </c>
      <c r="F39" s="100">
        <v>19817.481501229613</v>
      </c>
      <c r="H39" s="97">
        <v>50.350876190523536</v>
      </c>
      <c r="I39" s="97">
        <v>20.341209756165977</v>
      </c>
      <c r="J39" s="97">
        <v>367.23739441461879</v>
      </c>
      <c r="L39" s="97">
        <v>55.623435946471908</v>
      </c>
      <c r="M39" s="97">
        <v>2.2580005319922725</v>
      </c>
      <c r="O39" s="97">
        <v>0.40398919135382122</v>
      </c>
      <c r="P39" s="97">
        <v>1.6399702633866434E-2</v>
      </c>
      <c r="Q39" s="97">
        <v>18.053862027714413</v>
      </c>
      <c r="R39" s="97">
        <v>0.73288586671136624</v>
      </c>
      <c r="T39" s="97">
        <v>33.93379098157633</v>
      </c>
    </row>
  </sheetData>
  <phoneticPr fontId="10" type="noConversion"/>
  <pageMargins left="0.7" right="0.7" top="0.75" bottom="0.75" header="0.3" footer="0.3"/>
  <pageSetup paperSize="9" orientation="portrait" r:id="rId1"/>
  <legacyDrawing r:id="rId2"/>
</worksheet>
</file>

<file path=customUI/_rels/customUI14.xml.rels><?xml version="1.0" encoding="UTF-8" standalone="yes"?>
<Relationships xmlns="http://schemas.openxmlformats.org/package/2006/relationships"><Relationship Id="ico_KDE_p" Type="http://schemas.openxmlformats.org/officeDocument/2006/relationships/image" Target="images/ico_KDE_p.png"/><Relationship Id="ico_peak_p" Type="http://schemas.openxmlformats.org/officeDocument/2006/relationships/image" Target="images/ico_peak_p.png"/><Relationship Id="ico_error" Type="http://schemas.openxmlformats.org/officeDocument/2006/relationships/image" Target="images/ico_error.png"/><Relationship Id="ico_stacked_p" Type="http://schemas.openxmlformats.org/officeDocument/2006/relationships/image" Target="images/ico_stacked_p.png"/><Relationship Id="ico_radial_p" Type="http://schemas.openxmlformats.org/officeDocument/2006/relationships/image" Target="images/ico_radial_p.png"/><Relationship Id="ico_weigth_p" Type="http://schemas.openxmlformats.org/officeDocument/2006/relationships/image" Target="images/ico_weigth_p.png"/><Relationship Id="ico_normal_p" Type="http://schemas.openxmlformats.org/officeDocument/2006/relationships/image" Target="images/ico_normal_p.png"/><Relationship Id="ico_range" Type="http://schemas.openxmlformats.org/officeDocument/2006/relationships/image" Target="images/ico_range.png"/><Relationship Id="ico_header" Type="http://schemas.openxmlformats.org/officeDocument/2006/relationships/image" Target="images/ico_header.png"/></Relationships>
</file>

<file path=customUI/customUI14.xml><?xml version="1.0" encoding="utf-8"?>
<customUI xmlns="http://schemas.microsoft.com/office/2009/07/customui" onLoad="OnRibbonLoad">
  <ribbon startFromScratch="false">
    <tabs>
      <tab id="tab_SP" label="Series Plotter" insertBeforeMso="TabHome" getVisible="GetVisible">
        <group id="grp1" label="DATA" autoScale="true" imageMso="ChartShowData">
          <menu id="gal0" size="large" label="Data tools" imageMso="ControlToolboxOutlook" getVisible="GetVisible" getEnabled="GetEnabled">
            <button id="clean_data" label="Clear Data" imageMso="TableDeleteRowsAndColumnsMenuWord" onAction="OnActionButton" visible="true"/>
            <menuSeparator id="sep_101"/>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menuSeparator id="sep_102"/>
            <button id="add_start" label="Row Start" imageMso="EquationMatrixInsertRowAfter" onAction="OnActionButton" visible="true" screentip="Select the row before the header row" supertip="Use this if you want / have informations above the data (see 'Working template' for an example)"/>
            <button id="entete_layout" label="Headers layout" imageMso="ShowTimeAsGallery" onAction="OnActionButton" visible="true" screentip="Automatic headers layout" supertip="Changer the headers layout to a typical headers."/>
            <button id="add_error" label="Error headers" image="ico_error" onAction="OnActionButton" visible="true" screentip="Add errors columns" supertip="Add to the selected cells the error symbole to be recognise as error by Excel."/>
          </menu>
          <button id="recuptab" size="large" label="Read hearders" imageMso="FindDialog" onAction="OnActionButton" visible="true" screentip="Get the axes names/options" supertip="Before using the file, you need to retriver the columns headers to fil the axes options in the 'Graphic list' sheets"/>
          <separator id="sep_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menu id="menu_2" size="normal" itemSize="large" label="Statistical plot" imageMso="ChartTypeAllInsertDialog" getVisible="GetVisible" getEnabled="GetEnabled" screentip="Do quick statistical anaysis on dataset" supertip="To use this, select a dataset from one or multiple range and then click on the wanted process. The first column will correspond to data value and second to the data error (1s and absolute values)">
            <button id="graph_stat_loi_normal" label="Normal law" image="ico_normal_p" onAction="OnActionButton" visible="true" screentip="Plot a histogram and normal law calculated from the dataset" supertip="The distrubtion is calculated from the dataset (value only) and the normal law calculate using excel simple 'Mean' and 'standart deviation' tools"/>
            <button id="graph_stat_mean" label="Weighted mean" image="ico_weigth_p" onAction="OnActionButton" visible="true" screentip="Plot and calculated the weighted mean of the dataset" supertip="The weighted mean calculation need data uncertanities. An MSWD value is also calculated"/>
            <menuSeparator id="sep_111"/>
            <button id="graph_stat_KDE" label="KDE (Gaussian)" image="ico_KDE_p" onAction="OnActionButton" visible="true" screentip="Plot a histogram and the KDE from the dataset" supertip="The KDE is base on gaussian core and the bandwith on Silverman rule or data errors"/>
            <button id="graph_stat_peak" label="Population. det." image="ico_peak_p" onAction="OnActionButton" visible="true" screentip="Plot a histogram, KDE and different gaussian population that fit the calculated KDE" supertip="The KDE is base on gaussian core and the bandwith on Silverman rule or data errors. The different populations are automaticcaly determine or define by the user."/>
            <menuSeparator id="sep_112"/>
            <button id="radial_plot" label="Radial plot" image="ico_radial_p" onAction="OnActionButton" visible="true" screentip="Radial plot design by Galbraith" supertip="Use this to decipher the impact of data uncertanities on the different population in it. Note : after the python implementation in Excel, it normally will include complex statitic in it."/>
          </menu>
          <separator id="sep_11" getVisible="GetVisible"/>
          <labelControl id="labl3" label="          Samples" getVisible="GetVisible" getEnabled="GetEnabled"/>
          <dropDown id="sample_column" label=" " sizeString=".   name   ."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labelControl id="labl4" label="        Similitude" getVisible="GetVisible" getEnabled="GetEnabled"/>
          <labelControl id="labl2" label="determination :" getVisible="GetVisible" getEnabled="GetEnabled"/>
          <dropDown id="sample_type" label=" " sizeString=".   name   ."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OPTIONAL GROUPE-->
        <group id="grp_normalisation" label="Option : normalisation" autoScale="true" getVisible="GetVisible">
          <dropDown id="norma_type" sizeString="a really really long normalisation name"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toggleButton id="norma_statu" label="activate / desactivate normalisation" imageMso="FunctionWizard" onAction="OnActionTglButton" getPressed="GetPressedTglButton" getEnabled="GetEnabled" visible="true"/>
          <toggleButton id="norma_show" label="show the normalisation list" imageMso="VisibilityVisible" onAction="OnActionTglButton" getPressed="GetPressedTglButton" getEnabled="GetEnabled" visible="true"/>
        </group>
        <group id="grp_stacked" label="Option : stacked " autoScale="true" getVisible="GetVisible">
          <editBox id="stacked_min" label="min x :" sizeString="0000000" getText="GetTextEditBox" onChange="OnChangeEditBox" getVisible="GetVisible" getEnabled="GetEnabled"/>
          <editBox id="stacked_max" label="man x :" sizeString="0000000" getText="GetTextEditBox" onChange="OnChangeEditBox" getVisible="GetVisible" getEnabled="GetEnabled"/>
          <toggleButton id="stacked_stick" size="normal" label="stick vertically" imageMso="VerticalSpacingDecrease" onAction="OnActionTglButton" getPressed="GetPressedTglButton" getEnabled="GetEnabled" visible="true" screentip="Stick the chart vertically (it remove the 'blank' part between the chart grid)"/>
        </group>
        <group id="grp_grid" label="Option : grid " autoScale="true" getVisible="GetVisible">
          <labelControl id="grid_label" label="         grid :" getVisible="GetVisible" getEnabled="GetEnabled"/>
          <labelControl id="labl8" label="reference :" getVisible="GetVisible" getEnabled="GetEnabled"/>
          <button id="grid_add" label="New" imageMso="GroupDatasheetRelationships" onAction="OnActionButton" visible="true" screentip="Add a new grid"/>
          <dropDown id="grid_type" sizeString="a really really long normalisation name" onAction="OnActionDropDown" getVisible="GetVisible" getEnabled="GetEnabled" getItemCount="GetItemCount" getItemID="GetItemID" getItemLabel="GetItemLabel" getItemScreentip="GetItemScreentip" getItemSupertip="GetItemSupertip" getSelectedItemID="GetSelectedItemID" screentip="Select wanted grid" supertip="To apply the grid, select a chart and then clik on the togglebutton on the rigth"/>
          <editBox id="grid_copy" sizeString="a reeeally really long normalisation name" getText="GetTextEditBox" visible="true" screentip="Reference of the associated grid"/>
          <toggleButton id="grid_statu" label="add/remove grid to a chart" imageMso="GroupDesignGridlines" onAction="OnActionTglButton" getPressed="GetPressedTglButton" getEnabled="GetEnabled" visible="true" screentip="Activate / remove the grid from the selected chart"/>
        </group>
        <!--FIN OPTIONAL GROUPE-->
        <group id="grp2" label="GRAPHICS" autoScale="true" imageMso="ChartTypeXYScatterInsertGallery">
          <button id="plot_range" size="large" label="Plot from selections" image="ico_range" onAction="OnActionButton" visible="true" screentip="Plot one chart from selected cells :" supertip="this work exacly like excel by producing one chart from cells selection (first column = X data, second column = Y data). The chart type is define from the one selected (left), if you select ternary or Z-color chart select 3 columns (for more options go to the GitHub). Use this for simple and fast chart production."/>
          <button id="plot_header" size="large" label="Plot from headers" image="ico_header" onAction="OnActionButton" visible="true" screentip="Plot the chart(s) selected in the sheets 'Graphic list' :" supertip="this work by using the headers as data recognition and 'Graphic list' for graphics selection. Use this for generating multiple chart with samples names, axes name, etc..."/>
          <toggleButton id="erase-graph" size="normal" label="Erase before plot" imageMso="InkEraseMode" onAction="OnActionTglButton" getPressed="GetPressedTglButton" getEnabled="GetEnabled" visible="true"/>
          <button id="suppr-graph" size="normal" label="Delete all graphics" imageMso="ReviewRejectChangeAndMoveToNext" onAction="OnActionButton" visible="true"/>
          <menu id="export" size="normal" label="Export graphs" imageMso="ViewGoForward" getVisible="GetVisible" getEnabled="GetEnabled">
            <button id="ppt_simple" label="to .ppt (1 slide)" imageMso="FileSaveAsPowerPointPptx" onAction="OnActionButton" visible="true" screentip="export all the graphics in one slide of new PowerPoint window"/>
            <button id="png_simple" label="to .png (merge)" imageMso="PictureEffectsSoftEdgesGallery" onAction="OnActionButton" visible="true" screentip="export all the graphics in an unique picture"/>
            <button id="pdf_simple" label="to .pdf (merge)" imageMso="FileSaveAsPdf" onAction="OnActionButton" visible="true" screentip="export all the graphics in an unique .pdf file"/>
            <menuSeparator id="sep_201"/>
            <button id="ppt_multi" label="to .ppt" imageMso="FileSaveAsPowerPointPptx" onAction="OnActionButton" visible="true" screentip="export each graphic in one slide of a PowerPoint window"/>
            <button id="png_multi" label="to .png" imageMso="PictureEffectsSoftEdgesGallery" onAction="OnActionButton" visible="true" screentip="export each graphic in one picture, name after the X and Y axes titles"/>
            <button id="pdf_multi" label="to .pdf" imageMso="FileSaveAsPdf" onAction="OnActionButton" visible="true" screentip="export each graphic in one .pdf, name after the X and Y axes titles"/>
          </menu>
          <menu id="mnu_layout" size="large" itemSize="normal" getVisible="GetVisible" label="Plot layout" imageMso="ChartFormatPlotArea" getEnabled="GetEnabled" screentip="Select the plotting parameters (line, point....)">
            <toggleButton id="courbe" label="lines" imageMso="ChartTypeLineInsertGallery" onAction="OnActionTglButton" getPressed="GetPressedTglButton" getEnabled="GetEnabled"/>
            <toggleButton id="point" label="points" imageMso="ChartTypeXYScatterInsertGallery" onAction="OnActionTglButton" getPressed="GetPressedTglButton" getEnabled="GetEnabled"/>
            <menuSeparator id="sep_311"/>
            <toggleButton id="smooth" label="smooth" onAction="OnActionTglButton" getPressed="GetPressedTglButton" getEnabled="GetEnabled" visible="true"/>
            <toggleButton id="err_elipse" label="errors as elipses" onAction="OnActionTglButton" getPressed="GetPressedTglButton" getEnabled="GetEnabled" visible="true" screentip="Select between error bar and elispe as error representation"/>
          </menu>
        </group>
        <group id="grp3" label="OPTIONS" autoScale="true" imageMso="DataGraphicLegendStyleGallery">
          <!--<comboBox idMso="Font"/>-->
          <splitButton id="sbt30" size="large">
            <button id="option_serie" label="Windows options" imageMso="DataGraphicLegendVert1" onAction="OnActionButton" screentip="Display windows tools :" supertip="windows to hide/show series simultaneously on all charts"/>
            <menu id="menu_windows" itemSize="large" getVisible="GetVisible" getEnabled="GetEnabled" supertip="other optional windows (layout, grid...)">
              <button id="option_mep" label="series layout" imageMso="DataGraphicLegendStyleGallery" onAction="OnActionButton" visible="true" screentip="Show the window to define the series layout" supertip="(color, shape, size ...)"/>
              <button id="option_constante" label="add a constant" imageMso="ControlLineColorPicker" onAction="OnActionButton" visible="true" supertip="Use this if you want to display  a constant line to an axis (ex: mean value . . . )" screentip="Add a contant to all graphics"/>
              <button id="add_timescale" label="add a timescale" imageMso="LinkBarCustom" onAction="OnActionButton" visible="true" supertip="You can select X or Y axe to create a honrizontal or vertical timescale. If you select excel chart before cliking 'Plot' then the timescale will replace the corresponding axein the chart. You can create new timescale by cliking on 'New'" screentip="Create a timescale as an excel chart"/>
            </menu>
          </splitButton>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separator id="sep_40" getVisible="GetVisible"/>
          <splitButton id="sbt40" size="large">
            <toggleButton id="all-grid" label="Grid options" onAction="OnActionTglButton" imageMso="GridShowHide" getPressed="GetPressedTglButton" getEnabled="GetEnabled" screentip="Set all the grid ON/OFF"/>
            <menu id="mnu_sbt4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2"/>
              <toggleButton id="main-y-grid" label="main Y grid" onAction="OnActionTglButton" getPressed="GetPressedTglButton" getEnabled="GetEnabled"/>
              <toggleButton id="second-y-grid" label="second Y grid" onAction="OnActionTglButton" getPressed="GetPressedTglButton" getEnabled="GetEnabled"/>
            </menu>
          </splitButton>
          <menu id="mnu_sbt41" size="large" itemSize="normal" getVisible="GetVisible" getEnabled="GetEnabled" label="Axes options" imageMso="ChartAxes" screentip="Set different parmareters ON/OFF">
            <toggleButton id="x_zero" label="anchor x to 0" onAction="OnActionTglButton" getPressed="GetPressedTglButton" getEnabled="GetEnabled"/>
            <toggleButton id="y_zero" label="anchor y to 0" onAction="OnActionTglButton" getPressed="GetPressedTglButton" getEnabled="GetEnabled"/>
            <menuSeparator id="sep_43"/>
            <toggleButton id="x_log" label="X Log(10) projection" imageMso="ChartAxes" onAction="OnActionTglButton" getPressed="GetPressedTglButton" getEnabled="GetEnabled" visible="true"/>
            <toggleButton id="y_log" label="Y Log(10) projection" imageMso="ChartAxes" onAction="OnActionTglButton" getPressed="GetPressedTglButton" getEnabled="GetEnabled" visible="true"/>
          </menu>
          <menu id="mnu_sbt42" size="large" itemSize="normal" imageMso="OtherActionsMenu" getVisible="GetVisible" getEnabled="GetEnabled" label="Other options" screentip="Set different parmareters ON/OFF">
            <toggleButton id="legende" label="legende" imageMso="PivotChartLegendShowHide" onAction="OnActionTglButton" getPressed="GetPressedTglButton" getEnabled="GetEnabled" visible="true" screentip="Add remove the legend"/>
            <toggleButton id="font" label="white background" imageMso="AppointmentColor0" onAction="OnActionTglButton" getPressed="GetPressedTglButton" getEnabled="GetEnabled" visible="true" screentip="Add remove the white background, it could help for illustrator, inkscape etc copy-past"/>
            <toggleButton id="Regression" label="linear regression" imageMso="ChartTrendline" onAction="OnActionTglButton" getPressed="GetPressedTglButton" getEnabled="GetEnabled" visible="true"/>
            <menuSeparator id="sep_441"/>
            <button id="get_color" label="retriver series colors" imageMso="CopyFormat" onAction="OnActionButton" visible="true" screentip="Get the colors on the selected graphic" supertip="ex : use this to get an automatic color panel from Excel"/>
            <button id="get_layout" label="retriver chart layout" imageMso="CopyFormat" onAction="OnActionButton" visible="true" screentip="Retrivier all the graphic layout of the selected one" supertip="Use this to use your own liked layout and not the included one. Included almost all the layout options (color, size...)"/>
            <toggleButton id="Layout" label="use personal chart layout" onAction="OnActionTglButton" getPressed="GetPressedTglButton" getEnabled="GetEnabled" screentip="Use your personnal layout for the graph generation" supertip="OFF : use the automatic graph layout. ON : use the layout retriver by cliking on 'Get graph layout'"/>
          </menu>
        </group>
        <group id="grp6" label="HELPS" autoScale="true" imageMso="ButtonTaskSelfSupport">
          <gallery id="gal2" label="help options" size="large" imageMso="ButtonTaskSelfSupport" onAction="OnActionGallery" getVisible="GetVisible" getEnabled="GetEnabled">
            <button id="Example" label="Data template" onAction="OnActionButton" visible="true" screentip="Use this as a quick example/template of data to plot"/>
            <button id="info" label="About" onAction="OnActionButton" visible="true"/>
          </gallery>
        </group>
        <!--group idMso="GroupInsertChartsExcel" /-->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6</vt:i4>
      </vt:variant>
    </vt:vector>
  </HeadingPairs>
  <TitlesOfParts>
    <vt:vector size="6" baseType="lpstr">
      <vt:lpstr>Data &amp; Graphics</vt:lpstr>
      <vt:lpstr>Layout</vt:lpstr>
      <vt:lpstr>Graphics list</vt:lpstr>
      <vt:lpstr>Normalisation</vt:lpstr>
      <vt:lpstr>DATA</vt:lpstr>
      <vt:lpstr>Example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2023-11-14T09:14:37Z</cp:lastPrinted>
  <dcterms:created xsi:type="dcterms:W3CDTF">2017-06-23T16:58:04Z</dcterms:created>
  <dcterms:modified xsi:type="dcterms:W3CDTF">2024-04-19T20:57:05Z</dcterms:modified>
</cp:coreProperties>
</file>